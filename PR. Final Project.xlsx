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isam\Downloads\"/>
    </mc:Choice>
  </mc:AlternateContent>
  <xr:revisionPtr revIDLastSave="0" documentId="13_ncr:1_{42084F51-9C85-44F5-90AD-29C6B7C13512}"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Dashboard" sheetId="9" r:id="rId2"/>
    <sheet name="DATASET" sheetId="2" r:id="rId3"/>
    <sheet name="filter functions" sheetId="4" r:id="rId4"/>
    <sheet name="Scenario Summary" sheetId="11" r:id="rId5"/>
    <sheet name="if anaylsis" sheetId="5" r:id="rId6"/>
    <sheet name="Cleaned" sheetId="10" r:id="rId7"/>
    <sheet name="Visualizations" sheetId="7" r:id="rId8"/>
  </sheets>
  <definedNames>
    <definedName name="customer">DATASET!$A$1:$N$251</definedName>
    <definedName name="NativeTimeline_Date">#N/A</definedName>
    <definedName name="Slicer_Category">#N/A</definedName>
    <definedName name="Slicer_Customer_Name">#N/A</definedName>
    <definedName name="Slicer_Product_Name">#N/A</definedName>
    <definedName name="Slicer_Quantit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4" i="4" l="1" a="1"/>
  <c r="B6" i="5" l="1"/>
  <c r="F2" i="4" a="1"/>
  <c r="S5" i="10"/>
  <c r="S6" i="10"/>
  <c r="S7"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6"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5" i="10"/>
  <c r="S96" i="10"/>
  <c r="S97" i="10"/>
  <c r="S98" i="10"/>
  <c r="S99" i="10"/>
  <c r="S100" i="10"/>
  <c r="S101" i="10"/>
  <c r="S102" i="10"/>
  <c r="S103" i="10"/>
  <c r="S104" i="10"/>
  <c r="S105" i="10"/>
  <c r="S106" i="10"/>
  <c r="S107" i="10"/>
  <c r="S108"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163" i="10"/>
  <c r="S164" i="10"/>
  <c r="S165" i="10"/>
  <c r="S166" i="10"/>
  <c r="S167" i="10"/>
  <c r="S168" i="10"/>
  <c r="S169" i="10"/>
  <c r="S170" i="10"/>
  <c r="S171" i="10"/>
  <c r="S172" i="10"/>
  <c r="S173" i="10"/>
  <c r="S174" i="10"/>
  <c r="S175" i="10"/>
  <c r="S176" i="10"/>
  <c r="S177" i="10"/>
  <c r="S178" i="10"/>
  <c r="S179" i="10"/>
  <c r="S180" i="10"/>
  <c r="S181" i="10"/>
  <c r="S182" i="10"/>
  <c r="S183" i="10"/>
  <c r="S184" i="10"/>
  <c r="S185" i="10"/>
  <c r="S186" i="10"/>
  <c r="S187" i="10"/>
  <c r="S188" i="10"/>
  <c r="S189" i="10"/>
  <c r="S190" i="10"/>
  <c r="S191" i="10"/>
  <c r="S192" i="10"/>
  <c r="S193" i="10"/>
  <c r="S194" i="10"/>
  <c r="S195" i="10"/>
  <c r="S196" i="10"/>
  <c r="S197" i="10"/>
  <c r="S198" i="10"/>
  <c r="S199" i="10"/>
  <c r="S200" i="10"/>
  <c r="S201" i="10"/>
  <c r="S202" i="10"/>
  <c r="S203" i="10"/>
  <c r="S204" i="10"/>
  <c r="S205" i="10"/>
  <c r="S206" i="10"/>
  <c r="S207" i="10"/>
  <c r="S208" i="10"/>
  <c r="S209" i="10"/>
  <c r="S210" i="10"/>
  <c r="S211" i="10"/>
  <c r="S212" i="10"/>
  <c r="S213" i="10"/>
  <c r="S214" i="10"/>
  <c r="S215" i="10"/>
  <c r="S216" i="10"/>
  <c r="S217" i="10"/>
  <c r="S218" i="10"/>
  <c r="S219" i="10"/>
  <c r="S220" i="10"/>
  <c r="S221" i="10"/>
  <c r="S222" i="10"/>
  <c r="S223" i="10"/>
  <c r="S224" i="10"/>
  <c r="S225" i="10"/>
  <c r="S226" i="10"/>
  <c r="S227" i="10"/>
  <c r="S228" i="10"/>
  <c r="S229" i="10"/>
  <c r="S230" i="10"/>
  <c r="S231" i="10"/>
  <c r="S232" i="10"/>
  <c r="S233" i="10"/>
  <c r="S234" i="10"/>
  <c r="S235" i="10"/>
  <c r="S236" i="10"/>
  <c r="S237" i="10"/>
  <c r="S238" i="10"/>
  <c r="S239" i="10"/>
  <c r="S240" i="10"/>
  <c r="S241" i="10"/>
  <c r="S242" i="10"/>
  <c r="S243" i="10"/>
  <c r="S244" i="10"/>
  <c r="S245" i="10"/>
  <c r="S246" i="10"/>
  <c r="S247" i="10"/>
  <c r="S248" i="10"/>
  <c r="S249" i="10"/>
  <c r="S250" i="10"/>
  <c r="S251" i="10"/>
  <c r="S252" i="10"/>
  <c r="S253" i="10"/>
  <c r="S4" i="10"/>
  <c r="R5" i="10"/>
  <c r="R6"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4" i="10"/>
  <c r="Q4" i="10" a="1"/>
  <c r="P4" i="10" a="1"/>
  <c r="K7" i="9"/>
  <c r="P34" i="4" a="1"/>
  <c r="Q34" i="4" s="1"/>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33" i="4"/>
  <c r="B12" i="5"/>
  <c r="G5" i="5" s="1"/>
  <c r="G35" i="4"/>
  <c r="G34" i="4"/>
  <c r="F34" i="4" a="1"/>
  <c r="D2" i="4" a="1"/>
  <c r="A2" i="4" a="1"/>
  <c r="C2" i="4" a="1"/>
  <c r="B2" i="4" a="1"/>
  <c r="E7" i="9"/>
  <c r="B7" i="9"/>
  <c r="H7" i="9"/>
  <c r="M33" i="4" l="1"/>
  <c r="M34" i="4" s="1"/>
  <c r="Q43" i="4"/>
  <c r="G37" i="4"/>
  <c r="Q41" i="4"/>
  <c r="G38" i="4"/>
  <c r="Q40" i="4"/>
  <c r="G36" i="4"/>
  <c r="Q42" i="4"/>
  <c r="Q39" i="4"/>
  <c r="Q38" i="4"/>
  <c r="Q37" i="4"/>
  <c r="Q36" i="4"/>
  <c r="Q35" i="4"/>
  <c r="R33" i="4"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<sst xmlns="http://schemas.openxmlformats.org/spreadsheetml/2006/main" count="4736" uniqueCount="471">
  <si>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</si>
  <si>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</si>
  <si>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</si>
  <si>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</si>
  <si>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</si>
  <si>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</si>
  <si>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</si>
  <si>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</si>
  <si>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</si>
  <si>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</si>
  <si>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</si>
  <si>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</si>
  <si>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</si>
  <si>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</si>
  <si>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</si>
  <si>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</si>
  <si>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</si>
  <si>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</si>
  <si>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</si>
  <si>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</si>
  <si>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</si>
  <si>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</si>
  <si>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</si>
  <si>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</si>
  <si>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</si>
  <si>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</si>
  <si>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</si>
  <si>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</si>
  <si>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</si>
  <si>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</si>
  <si>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</si>
  <si>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</si>
  <si>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</si>
  <si>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</si>
  <si>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</si>
  <si>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</si>
  <si>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</si>
  <si>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</si>
  <si>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</si>
  <si>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</si>
  <si>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</si>
  <si>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</si>
  <si>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</si>
  <si>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</si>
  <si>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</si>
  <si>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</si>
  <si>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</si>
  <si>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</si>
  <si>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</si>
  <si>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</si>
  <si>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</si>
  <si>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</si>
  <si>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</si>
  <si>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</si>
  <si>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</si>
  <si>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</si>
  <si>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</si>
  <si>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</si>
  <si>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</si>
  <si>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</si>
  <si>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</si>
  <si>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</si>
  <si>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</si>
  <si>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</si>
  <si>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</si>
  <si>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</si>
  <si>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</si>
  <si>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</si>
  <si>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</si>
  <si>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</si>
  <si>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</si>
  <si>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</si>
  <si>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</si>
  <si>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</si>
  <si>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</si>
  <si>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</si>
  <si>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</si>
  <si>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</si>
  <si>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</si>
  <si>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</si>
  <si>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</si>
  <si>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</si>
  <si>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</si>
  <si>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</si>
  <si>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</si>
  <si>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</si>
  <si>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</si>
  <si>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</si>
  <si>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</si>
  <si>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</si>
  <si>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</si>
  <si>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</si>
  <si>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</si>
  <si>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</si>
  <si>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</si>
  <si>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</si>
  <si>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</si>
  <si>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</si>
  <si>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</si>
  <si>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</si>
  <si>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</si>
  <si>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</si>
  <si>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</si>
  <si>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</si>
  <si>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</si>
  <si>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</si>
  <si>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</si>
  <si>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</si>
  <si>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</si>
  <si>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</si>
  <si>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</si>
  <si>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</si>
  <si>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</si>
  <si>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</si>
  <si>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</si>
  <si>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</si>
  <si>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</si>
  <si>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</si>
  <si>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</si>
  <si>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</si>
  <si>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</si>
  <si>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</si>
  <si>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</si>
  <si>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</si>
  <si>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</si>
  <si>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</si>
  <si>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</si>
  <si>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</si>
  <si>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</si>
  <si>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</si>
  <si>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</si>
  <si>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</si>
  <si>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</si>
  <si>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</si>
  <si>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</si>
  <si>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</si>
  <si>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</si>
  <si>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</si>
  <si>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</si>
  <si>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</si>
  <si>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</si>
  <si>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</si>
  <si>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</si>
  <si>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</si>
  <si>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</si>
  <si>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</si>
  <si>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</si>
  <si>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</si>
  <si>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</si>
  <si>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</si>
  <si>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</si>
  <si>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</si>
  <si>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</si>
  <si>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</si>
  <si>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</si>
  <si>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</si>
  <si>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</si>
  <si>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</si>
  <si>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</si>
  <si>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</si>
  <si>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</si>
  <si>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</si>
  <si>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</si>
  <si>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</si>
  <si>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</si>
  <si>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</si>
  <si>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</si>
  <si>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</si>
  <si>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</si>
  <si>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</si>
  <si>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</si>
  <si>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</si>
  <si>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</si>
  <si>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</si>
  <si>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</si>
  <si>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</si>
  <si>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</si>
  <si>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</si>
  <si>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</si>
  <si>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</si>
  <si>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</si>
  <si>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</si>
  <si>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</si>
  <si>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</si>
  <si>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</si>
  <si>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</si>
  <si>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</si>
  <si>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</si>
  <si>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</si>
  <si>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</si>
  <si>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</si>
  <si>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</si>
  <si>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</si>
  <si>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</si>
  <si>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</si>
  <si>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</si>
  <si>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</si>
  <si>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</si>
  <si>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</si>
  <si>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</si>
  <si>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</si>
  <si>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</si>
  <si>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</si>
  <si>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</si>
  <si>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</si>
  <si>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</si>
  <si>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</si>
  <si>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</si>
  <si>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</si>
  <si>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</si>
  <si>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</si>
  <si>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</si>
  <si>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</si>
  <si>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</si>
  <si>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</si>
  <si>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</si>
  <si>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</si>
  <si>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</si>
  <si>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</si>
  <si>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</si>
  <si>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</si>
  <si>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</si>
  <si>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</si>
  <si>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</si>
  <si>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</si>
  <si>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</si>
  <si>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</si>
  <si>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</si>
  <si>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</si>
  <si>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</si>
  <si>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</si>
  <si>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</si>
  <si>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</si>
  <si>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</si>
  <si>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</si>
  <si>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</si>
  <si>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</si>
  <si>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</si>
  <si>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</si>
  <si>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</si>
  <si>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</si>
  <si>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</si>
  <si>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</si>
  <si>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</si>
  <si>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</si>
  <si>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</si>
  <si>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</si>
  <si>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</si>
  <si>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</si>
  <si>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</si>
  <si>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</si>
  <si>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</si>
  <si>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</si>
  <si>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</si>
  <si>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</si>
  <si>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</si>
  <si>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</si>
  <si>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</si>
  <si>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</si>
  <si>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</si>
  <si>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</si>
  <si>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</si>
  <si>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</si>
  <si>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</si>
  <si>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</si>
  <si>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</si>
  <si>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</si>
  <si>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</si>
  <si>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</si>
  <si>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</si>
  <si>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</si>
  <si>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</si>
  <si>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</si>
  <si>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</si>
  <si>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</si>
  <si>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</si>
  <si>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</si>
  <si>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</si>
  <si>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</si>
  <si>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</si>
  <si>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</si>
  <si>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</si>
  <si>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</si>
  <si>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</si>
  <si>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</si>
  <si>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</si>
  <si>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</si>
  <si>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</si>
  <si>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</si>
  <si>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</si>
  <si>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</si>
  <si>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</si>
  <si>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</si>
  <si>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</si>
  <si>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</si>
  <si>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</si>
  <si>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</si>
  <si>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</si>
  <si>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</si>
  <si>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</si>
  <si>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</si>
  <si>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</si>
  <si>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</si>
  <si>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</si>
  <si>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</si>
  <si>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</si>
  <si>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</si>
  <si>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</si>
  <si>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</si>
  <si>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</si>
  <si>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</si>
  <si>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</si>
  <si>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</si>
  <si>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</si>
  <si>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</si>
  <si>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</si>
  <si>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</si>
  <si>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</si>
  <si>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</si>
  <si>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</si>
  <si>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</si>
  <si>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</si>
  <si>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</si>
  <si>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</si>
  <si>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</si>
  <si>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</si>
  <si>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</si>
  <si>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</si>
  <si>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</si>
  <si>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</si>
  <si>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</si>
  <si>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</si>
  <si>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</si>
  <si>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</si>
  <si>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</si>
  <si>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</si>
  <si>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</si>
  <si>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</si>
  <si>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</si>
  <si>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</si>
  <si>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</si>
  <si>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</si>
  <si>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</si>
  <si>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</si>
  <si>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</si>
  <si>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</si>
  <si>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</si>
  <si>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</si>
  <si>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</si>
  <si>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</si>
  <si>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</si>
  <si>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</si>
  <si>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</si>
  <si>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</si>
  <si>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</si>
  <si>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</si>
  <si>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</si>
  <si>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</si>
  <si>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</si>
  <si>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</si>
  <si>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</si>
  <si>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</si>
  <si>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</si>
  <si>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</si>
  <si>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</si>
  <si>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</si>
  <si>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</si>
  <si>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</si>
  <si>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</si>
  <si>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</si>
  <si>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</si>
  <si>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</si>
  <si>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</si>
  <si>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</si>
  <si>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</si>
  <si>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</si>
  <si>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</si>
  <si>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</si>
  <si>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</si>
  <si>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</si>
  <si>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</si>
  <si>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</si>
  <si>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</si>
  <si>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</si>
  <si>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</si>
  <si>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</si>
  <si>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</si>
  <si>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</si>
  <si>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</si>
  <si>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</si>
  <si>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</si>
  <si>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</si>
  <si>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</si>
  <si>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</si>
  <si>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</si>
  <si>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</si>
  <si>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</si>
  <si>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</si>
  <si>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</si>
  <si>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</si>
  <si>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</si>
  <si>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 xml:space="preserve">Product Category </t>
  </si>
  <si>
    <t xml:space="preserve">Filter Monitor and Electronics </t>
  </si>
  <si>
    <t xml:space="preserve">Region </t>
  </si>
  <si>
    <t>Region wise total Amount</t>
  </si>
  <si>
    <t xml:space="preserve">Unit Price </t>
  </si>
  <si>
    <t xml:space="preserve">Total Amount </t>
  </si>
  <si>
    <t>Total Amount</t>
  </si>
  <si>
    <t>Use GroupBy concepts to find High-Value Customers using formulas</t>
  </si>
  <si>
    <t>Find most frequently purchased product or repeating names using formulas</t>
  </si>
  <si>
    <t>Row Labels</t>
  </si>
  <si>
    <t>Grand Total</t>
  </si>
  <si>
    <t>Sum of Total_Amount</t>
  </si>
  <si>
    <t>Customer wise total Sales</t>
  </si>
  <si>
    <t>Product Wise total Sales</t>
  </si>
  <si>
    <t>Count of Quantity</t>
  </si>
  <si>
    <t>Categgory wise total Quantity</t>
  </si>
  <si>
    <t>2021</t>
  </si>
  <si>
    <t>2022</t>
  </si>
  <si>
    <t>2023</t>
  </si>
  <si>
    <t>2024</t>
  </si>
  <si>
    <t>Total Sales</t>
  </si>
  <si>
    <t>Total Quantity Sold</t>
  </si>
  <si>
    <t>Top Rigion</t>
  </si>
  <si>
    <t>Top Customer Nm</t>
  </si>
  <si>
    <t>Year</t>
  </si>
  <si>
    <t>Month</t>
  </si>
  <si>
    <t>End of Month</t>
  </si>
  <si>
    <t>Day Diiff</t>
  </si>
  <si>
    <t>All the Unique Name</t>
  </si>
  <si>
    <t>Unique Product Name</t>
  </si>
  <si>
    <t>Goal Seek (Best for Quantity, Unit_Price, Total_Amount)</t>
  </si>
  <si>
    <t>Scenario Manager (Best for Unit_Price &amp; Quantity changes)</t>
  </si>
  <si>
    <t>Data Table (Best for Forecasting using Quantity &amp; Unit Price)</t>
  </si>
  <si>
    <t>Unit Price</t>
  </si>
  <si>
    <t>Qty</t>
  </si>
  <si>
    <t>A (List A)</t>
  </si>
  <si>
    <t>John</t>
  </si>
  <si>
    <t>Amit</t>
  </si>
  <si>
    <t>Priya</t>
  </si>
  <si>
    <t>Neha</t>
  </si>
  <si>
    <t>Rahul</t>
  </si>
  <si>
    <t>Kiran</t>
  </si>
  <si>
    <t>B (List B)</t>
  </si>
  <si>
    <t>Ravi</t>
  </si>
  <si>
    <t>Mehul</t>
  </si>
  <si>
    <t>Matching Names (Column C)</t>
  </si>
  <si>
    <t>$B$4</t>
  </si>
  <si>
    <t>$A$26</t>
  </si>
  <si>
    <t>low demand</t>
  </si>
  <si>
    <t>Created by Ayush Isamaliya on 24-11-2025</t>
  </si>
  <si>
    <t>High Demand</t>
  </si>
  <si>
    <t>Created by Ayush Isamaliya on 24-11-2025
Modified by Ayush Isamaliya on 24-11-2025</t>
  </si>
  <si>
    <t>medium Demand</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</si>
  <si>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</si>
  <si>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</si>
  <si>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</si>
  <si>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</si>
  <si>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</si>
  <si>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</si>
  <si>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</si>
  <si>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r>
      <t xml:space="preserve">The business generated </t>
    </r>
    <r>
      <rPr>
        <b/>
        <sz val="11"/>
        <color theme="1"/>
        <rFont val="Calibri"/>
        <scheme val="minor"/>
      </rPr>
      <t>Total Sales of 180,096.63</t>
    </r>
    <r>
      <rPr>
        <sz val="11"/>
        <color theme="1"/>
        <rFont val="Calibri"/>
        <scheme val="minor"/>
      </rPr>
      <t xml:space="preserve"> with </t>
    </r>
    <r>
      <rPr>
        <b/>
        <sz val="11"/>
        <color theme="1"/>
        <rFont val="Calibri"/>
        <scheme val="minor"/>
      </rPr>
      <t>107 units sold</t>
    </r>
    <r>
      <rPr>
        <sz val="11"/>
        <color theme="1"/>
        <rFont val="Calibri"/>
        <scheme val="minor"/>
      </rPr>
      <t xml:space="preserve"> during the selected period.</t>
    </r>
  </si>
  <si>
    <r>
      <t>Mark Carter</t>
    </r>
    <r>
      <rPr>
        <sz val="11"/>
        <color theme="1"/>
        <rFont val="Calibri"/>
        <scheme val="minor"/>
      </rPr>
      <t xml:space="preserve"> is the </t>
    </r>
    <r>
      <rPr>
        <b/>
        <sz val="11"/>
        <color theme="1"/>
        <rFont val="Calibri"/>
        <scheme val="minor"/>
      </rPr>
      <t>top-performing customer</t>
    </r>
    <r>
      <rPr>
        <sz val="11"/>
        <color theme="1"/>
        <rFont val="Calibri"/>
        <scheme val="minor"/>
      </rPr>
      <t>, contributing the highest sales among all customers.</t>
    </r>
  </si>
  <si>
    <r>
      <t xml:space="preserve">The </t>
    </r>
    <r>
      <rPr>
        <b/>
        <sz val="11"/>
        <color theme="1"/>
        <rFont val="Calibri"/>
        <scheme val="minor"/>
      </rPr>
      <t>East region</t>
    </r>
    <r>
      <rPr>
        <sz val="11"/>
        <color theme="1"/>
        <rFont val="Calibri"/>
        <scheme val="minor"/>
      </rPr>
      <t xml:space="preserve"> is the strongest market, contributing the largest share of total sales (</t>
    </r>
    <r>
      <rPr>
        <b/>
        <sz val="11"/>
        <color theme="1"/>
        <rFont val="Calibri"/>
        <scheme val="minor"/>
      </rPr>
      <t>28%</t>
    </r>
    <r>
      <rPr>
        <sz val="11"/>
        <color theme="1"/>
        <rFont val="Calibri"/>
        <scheme val="minor"/>
      </rPr>
      <t xml:space="preserve">), followed by the </t>
    </r>
    <r>
      <rPr>
        <b/>
        <sz val="11"/>
        <color theme="1"/>
        <rFont val="Calibri"/>
        <scheme val="minor"/>
      </rPr>
      <t>North region (21%)</t>
    </r>
    <r>
      <rPr>
        <sz val="11"/>
        <color theme="1"/>
        <rFont val="Calibri"/>
        <scheme val="minor"/>
      </rPr>
      <t>.</t>
    </r>
  </si>
  <si>
    <r>
      <t>Laptop</t>
    </r>
    <r>
      <rPr>
        <sz val="11"/>
        <color theme="1"/>
        <rFont val="Calibri"/>
        <scheme val="minor"/>
      </rPr>
      <t xml:space="preserve"> and </t>
    </r>
    <r>
      <rPr>
        <b/>
        <sz val="11"/>
        <color theme="1"/>
        <rFont val="Calibri"/>
        <scheme val="minor"/>
      </rPr>
      <t>Smartphone</t>
    </r>
    <r>
      <rPr>
        <sz val="11"/>
        <color theme="1"/>
        <rFont val="Calibri"/>
        <scheme val="minor"/>
      </rPr>
      <t xml:space="preserve"> products are the major revenue drivers, significantly outperforming other products.</t>
    </r>
  </si>
  <si>
    <r>
      <t>Electronics</t>
    </r>
    <r>
      <rPr>
        <sz val="11"/>
        <color theme="1"/>
        <rFont val="Calibri"/>
        <scheme val="minor"/>
      </rPr>
      <t xml:space="preserve"> dominate product demand, accounting for approximately </t>
    </r>
    <r>
      <rPr>
        <b/>
        <sz val="11"/>
        <color theme="1"/>
        <rFont val="Calibri"/>
        <scheme val="minor"/>
      </rPr>
      <t>76% of total quantity sold</t>
    </r>
    <r>
      <rPr>
        <sz val="11"/>
        <color theme="1"/>
        <rFont val="Calibri"/>
        <scheme val="minor"/>
      </rPr>
      <t xml:space="preserve">, while Furniture contributes around </t>
    </r>
    <r>
      <rPr>
        <b/>
        <sz val="11"/>
        <color theme="1"/>
        <rFont val="Calibri"/>
        <scheme val="minor"/>
      </rPr>
      <t>24%</t>
    </r>
    <r>
      <rPr>
        <sz val="11"/>
        <color theme="1"/>
        <rFont val="Calibri"/>
        <scheme val="minor"/>
      </rPr>
      <t>.</t>
    </r>
  </si>
  <si>
    <t>Customer sales are highly concentrated among a few customers, indicating that a small group of customers contributes a substantial portion of overall revenue.</t>
  </si>
  <si>
    <r>
      <t xml:space="preserve">Regional sales distribution is relatively balanced, but increasing sales efforts in </t>
    </r>
    <r>
      <rPr>
        <b/>
        <sz val="11"/>
        <color theme="1"/>
        <rFont val="Calibri"/>
        <scheme val="minor"/>
      </rPr>
      <t>South</t>
    </r>
    <r>
      <rPr>
        <sz val="11"/>
        <color theme="1"/>
        <rFont val="Calibri"/>
        <scheme val="minor"/>
      </rPr>
      <t xml:space="preserve"> and </t>
    </r>
    <r>
      <rPr>
        <b/>
        <sz val="11"/>
        <color theme="1"/>
        <rFont val="Calibri"/>
        <scheme val="minor"/>
      </rPr>
      <t>Central</t>
    </r>
    <r>
      <rPr>
        <sz val="11"/>
        <color theme="1"/>
        <rFont val="Calibri"/>
        <scheme val="minor"/>
      </rPr>
      <t xml:space="preserve"> regions could improve overall performance.</t>
    </r>
  </si>
  <si>
    <t>Key Observation:</t>
  </si>
  <si>
    <r>
      <t xml:space="preserve">The company’s revenue is primarily driven by </t>
    </r>
    <r>
      <rPr>
        <b/>
        <sz val="11"/>
        <color theme="1"/>
        <rFont val="Calibri"/>
        <scheme val="minor"/>
      </rPr>
      <t>Electronics products (especially Laptops and Smartphones)</t>
    </r>
    <r>
      <rPr>
        <sz val="11"/>
        <color theme="1"/>
        <rFont val="Calibri"/>
        <scheme val="minor"/>
      </rPr>
      <t xml:space="preserve"> and strong sales from the </t>
    </r>
    <r>
      <rPr>
        <b/>
        <sz val="11"/>
        <color theme="1"/>
        <rFont val="Calibri"/>
        <scheme val="minor"/>
      </rPr>
      <t>East region</t>
    </r>
    <r>
      <rPr>
        <sz val="11"/>
        <color theme="1"/>
        <rFont val="Calibri"/>
        <scheme val="minor"/>
      </rPr>
      <t xml:space="preserve">, with </t>
    </r>
    <r>
      <rPr>
        <b/>
        <sz val="11"/>
        <color theme="1"/>
        <rFont val="Calibri"/>
        <scheme val="minor"/>
      </rPr>
      <t>Mark Carter</t>
    </r>
    <r>
      <rPr>
        <sz val="11"/>
        <color theme="1"/>
        <rFont val="Calibri"/>
        <scheme val="minor"/>
      </rPr>
      <t xml:space="preserve"> emerging as the most valuable customer.</t>
    </r>
  </si>
  <si>
    <t xml:space="preserve">Dashboard Insights: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</si>
</sst>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2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367526"/>
      <name val="Calibri"/>
      <family val="2"/>
    </font>
    <font>
      <sz val="11"/>
      <color rgb="FF38761D"/>
      <name val="Calibri"/>
      <family val="2"/>
    </font>
    <font>
      <sz val="10"/>
      <color theme="1"/>
      <name val="Arial Unicode MS"/>
    </font>
    <font>
      <sz val="20"/>
      <color theme="8" tint="-0.499984740745262"/>
      <name val="Calibri"/>
      <family val="2"/>
      <scheme val="minor"/>
    </font>
    <font>
      <b/>
      <u/>
      <sz val="22"/>
      <color theme="8" tint="-0.499984740745262"/>
      <name val="Calibri"/>
      <family val="2"/>
      <scheme val="minor"/>
    </font>
    <font>
      <u/>
      <sz val="11"/>
      <color theme="1"/>
      <name val="Calibri"/>
      <family val="2"/>
      <scheme val="minor"/>
    </font>
    <font>
      <b/>
      <sz val="12"/>
      <color theme="1"/>
      <name val="Calibri"/>
      <family val="2"/>
      <scheme val="minor"/>
    </font>
    <font>
      <b/>
      <sz val="13"/>
      <color theme="1"/>
      <name val="Calibri"/>
      <family val="2"/>
      <scheme val="minor"/>
    </font>
    <font>
      <b/>
      <sz val="14"/>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1"/>
      <color theme="1"/>
      <name val="Calibri"/>
      <scheme val="minor"/>
    </font>
    <font>
      <b/>
      <sz val="13.5"/>
      <color theme="1"/>
      <name val="Calibri"/>
      <family val="2"/>
      <scheme val="minor"/>
    </font>
  </fonts>
  <fills count="8">
    <fill>
      <patternFill patternType="none"/>
    </fill>
    <fill>
      <patternFill patternType="gray125"/>
    </fill>
    <fill>
      <patternFill patternType="solid">
        <fgColor rgb="FFFFF2CC"/>
        <bgColor rgb="FFFFF2CC"/>
      </patternFill>
    </fill>
    <fill>
      <patternFill patternType="solid">
        <fgColor theme="6" tint="0.79998168889431442"/>
        <bgColor indexed="64"/>
      </patternFill>
    </fill>
    <fill>
      <patternFill patternType="solid">
        <fgColor theme="6"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DashDot">
        <color indexed="64"/>
      </left>
      <right/>
      <top style="mediumDashDot">
        <color indexed="64"/>
      </top>
      <bottom style="mediumDashDot">
        <color indexed="64"/>
      </bottom>
      <diagonal/>
    </border>
    <border>
      <left/>
      <right style="mediumDashDot">
        <color indexed="64"/>
      </right>
      <top style="mediumDashDot">
        <color indexed="64"/>
      </top>
      <bottom style="mediumDashDot">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s>
  <cellStyleXfs count="1">
    <xf numFmtId="0" fontId="0" fillId="0" borderId="0"/>
  </cellStyleXfs>
  <cellXfs count="64">
    <xf numFmtId="0" fontId="0" fillId="0" borderId="0" xfId="0"/>
    <xf numFmtId="0" fontId="5" fillId="2" borderId="1" xfId="0" applyFont="1" applyFill="1" applyBorder="1" applyAlignment="1">
      <alignment horizontal="center"/>
    </xf>
    <xf numFmtId="0" fontId="6" fillId="0" borderId="0" xfId="0" applyFont="1" applyAlignment="1">
      <alignment horizontal="center" vertical="center"/>
    </xf>
    <xf numFmtId="0" fontId="8" fillId="0" borderId="0" xfId="0" applyFont="1"/>
    <xf numFmtId="0" fontId="6" fillId="0" borderId="0" xfId="0" applyFont="1"/>
    <xf numFmtId="0" fontId="6" fillId="0" borderId="0" xfId="0" applyFont="1" applyAlignment="1">
      <alignment horizontal="center" vertical="center" wrapText="1"/>
    </xf>
    <xf numFmtId="0" fontId="7" fillId="0" borderId="1" xfId="0" applyFont="1" applyBorder="1" applyAlignment="1">
      <alignment wrapText="1"/>
    </xf>
    <xf numFmtId="14" fontId="0" fillId="0" borderId="0" xfId="0" applyNumberFormat="1"/>
    <xf numFmtId="2" fontId="0" fillId="0" borderId="0" xfId="0" applyNumberFormat="1"/>
    <xf numFmtId="0" fontId="0" fillId="0" borderId="2" xfId="0" applyBorder="1"/>
    <xf numFmtId="0" fontId="4" fillId="0" borderId="2" xfId="0" applyFont="1" applyBorder="1"/>
    <xf numFmtId="0" fontId="0" fillId="0" borderId="0" xfId="0" applyAlignment="1">
      <alignment wrapText="1"/>
    </xf>
    <xf numFmtId="0" fontId="0" fillId="0" borderId="0" xfId="0" pivotButton="1"/>
    <xf numFmtId="0" fontId="0" fillId="0" borderId="0" xfId="0" applyAlignment="1">
      <alignment horizontal="left"/>
    </xf>
    <xf numFmtId="0" fontId="3" fillId="0" borderId="0" xfId="0" applyFont="1"/>
    <xf numFmtId="0" fontId="14" fillId="0" borderId="0" xfId="0" applyFont="1"/>
    <xf numFmtId="0" fontId="2" fillId="0" borderId="0" xfId="0" applyFont="1"/>
    <xf numFmtId="0" fontId="15" fillId="0" borderId="2" xfId="0" applyFont="1" applyBorder="1" applyAlignment="1">
      <alignment horizontal="center" wrapText="1"/>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0" fillId="0" borderId="2" xfId="0" applyBorder="1" applyAlignment="1">
      <alignment vertical="center" wrapText="1"/>
    </xf>
    <xf numFmtId="14" fontId="8" fillId="0" borderId="0" xfId="0" applyNumberFormat="1" applyFont="1"/>
    <xf numFmtId="14" fontId="6" fillId="0" borderId="0" xfId="0" applyNumberFormat="1" applyFont="1"/>
    <xf numFmtId="14" fontId="0" fillId="0" borderId="2" xfId="0" applyNumberFormat="1" applyBorder="1"/>
    <xf numFmtId="14" fontId="11" fillId="0" borderId="2" xfId="0" applyNumberFormat="1" applyFont="1" applyBorder="1" applyAlignment="1">
      <alignment vertical="center" wrapText="1"/>
    </xf>
    <xf numFmtId="0" fontId="2" fillId="0" borderId="2" xfId="0" applyFont="1" applyBorder="1" applyAlignment="1">
      <alignment wrapText="1"/>
    </xf>
    <xf numFmtId="0" fontId="0" fillId="0" borderId="2" xfId="0" applyBorder="1" applyAlignment="1">
      <alignment horizontal="center" wrapText="1"/>
    </xf>
    <xf numFmtId="165" fontId="0" fillId="0" borderId="2" xfId="0" applyNumberFormat="1" applyBorder="1"/>
    <xf numFmtId="0" fontId="0" fillId="4" borderId="2" xfId="0" applyFill="1" applyBorder="1"/>
    <xf numFmtId="0" fontId="8"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12" xfId="0" applyBorder="1"/>
    <xf numFmtId="0" fontId="18" fillId="5" borderId="13" xfId="0" applyFont="1" applyFill="1" applyBorder="1" applyAlignment="1">
      <alignment horizontal="left"/>
    </xf>
    <xf numFmtId="0" fontId="18" fillId="5" borderId="11" xfId="0" applyFont="1" applyFill="1" applyBorder="1" applyAlignment="1">
      <alignment horizontal="left"/>
    </xf>
    <xf numFmtId="0" fontId="0" fillId="0" borderId="5" xfId="0" applyBorder="1"/>
    <xf numFmtId="0" fontId="19" fillId="6" borderId="0" xfId="0" applyFont="1" applyFill="1" applyAlignment="1">
      <alignment horizontal="left"/>
    </xf>
    <xf numFmtId="0" fontId="20" fillId="6" borderId="5" xfId="0" applyFont="1" applyFill="1" applyBorder="1" applyAlignment="1">
      <alignment horizontal="left"/>
    </xf>
    <xf numFmtId="0" fontId="19" fillId="6" borderId="12" xfId="0" applyFont="1" applyFill="1" applyBorder="1" applyAlignment="1">
      <alignment horizontal="left"/>
    </xf>
    <xf numFmtId="0" fontId="21" fillId="5" borderId="11" xfId="0" applyFont="1" applyFill="1" applyBorder="1" applyAlignment="1">
      <alignment horizontal="right"/>
    </xf>
    <xf numFmtId="0" fontId="21" fillId="5" borderId="13" xfId="0" applyFont="1" applyFill="1" applyBorder="1" applyAlignment="1">
      <alignment horizontal="right"/>
    </xf>
    <xf numFmtId="0" fontId="0" fillId="7" borderId="0" xfId="0" applyFill="1"/>
    <xf numFmtId="0" fontId="22" fillId="0" borderId="0" xfId="0" applyFont="1" applyAlignment="1">
      <alignment vertical="top"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2" fillId="3" borderId="3" xfId="0" applyFont="1" applyFill="1" applyBorder="1" applyAlignment="1">
      <alignment horizontal="center" wrapText="1"/>
    </xf>
    <xf numFmtId="0" fontId="12" fillId="3" borderId="4" xfId="0" applyFont="1" applyFill="1" applyBorder="1" applyAlignment="1">
      <alignment horizontal="center" wrapText="1"/>
    </xf>
    <xf numFmtId="0" fontId="0" fillId="0" borderId="2" xfId="0" applyBorder="1" applyAlignment="1">
      <alignment horizontal="center" wrapText="1"/>
    </xf>
    <xf numFmtId="0" fontId="17" fillId="0" borderId="0" xfId="0" applyFont="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15" fillId="0" borderId="2" xfId="0" applyFont="1" applyBorder="1" applyAlignment="1">
      <alignment horizontal="center" wrapText="1"/>
    </xf>
    <xf numFmtId="0" fontId="15" fillId="0" borderId="6" xfId="0" applyFont="1" applyBorder="1" applyAlignment="1">
      <alignment horizontal="center" wrapText="1"/>
    </xf>
    <xf numFmtId="0" fontId="15" fillId="0" borderId="5" xfId="0" applyFont="1" applyBorder="1" applyAlignment="1">
      <alignment horizontal="center" wrapText="1"/>
    </xf>
    <xf numFmtId="0" fontId="15" fillId="0" borderId="7" xfId="0" applyFont="1" applyBorder="1" applyAlignment="1">
      <alignment horizontal="center" wrapText="1"/>
    </xf>
    <xf numFmtId="0" fontId="16" fillId="0" borderId="8" xfId="0" applyFont="1" applyBorder="1" applyAlignment="1">
      <alignment horizontal="center" vertical="center" textRotation="255" wrapText="1"/>
    </xf>
    <xf numFmtId="0" fontId="16" fillId="0" borderId="9" xfId="0" applyFont="1" applyBorder="1" applyAlignment="1">
      <alignment horizontal="center" vertical="center" textRotation="255" wrapText="1"/>
    </xf>
    <xf numFmtId="0" fontId="16" fillId="0" borderId="10" xfId="0" applyFont="1" applyBorder="1" applyAlignment="1">
      <alignment horizontal="center" vertical="center" textRotation="255" wrapText="1"/>
    </xf>
    <xf numFmtId="0" fontId="0" fillId="0" borderId="0" xfId="0" applyAlignment="1">
      <alignment horizontal="left" vertical="center" indent="1"/>
    </xf>
    <xf numFmtId="0" fontId="23" fillId="0" borderId="0" xfId="0" applyFont="1"/>
    <xf numFmtId="0" fontId="23" fillId="0" borderId="0" xfId="0" applyFont="1" applyAlignment="1">
      <alignment horizontal="left" vertical="center" indent="1"/>
    </xf>
    <xf numFmtId="0" fontId="24" fillId="0" borderId="0" xfId="0" applyFont="1" applyAlignment="1">
      <alignment vertical="center"/>
    </xf>
    <xf numFmtId="0" fontId="1" fillId="0" borderId="0" xfId="0" applyFont="1" applyAlignment="1">
      <alignment horizontal="left" vertical="center" indent="1"/>
    </xf>
    <xf numFmtId="0" fontId="8" fillId="0" borderId="0" xfId="0" applyFont="1" applyAlignment="1">
      <alignment horizontal="left" vertical="center" indent="1"/>
    </xf>
    <xf numFmtId="0" fontId="0" fillId="0" borderId="0" xfId="0" applyNumberFormat="1"/>
  </cellXfs>
  <cellStyles count="1">
    <cellStyle name="Normal" xfId="0" builtinId="0"/>
  </cellStyles>
  <dxfs count="18">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 (11).xlsx]Visualizations!PivotTable6</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Customer wise total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Visualizations!$B$3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Visualizations!$A$4:$A$54</c:f>
              <c:strCache>
                <c:ptCount val="5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pt idx="10">
                  <c:v>Helen Roberts</c:v>
                </c:pt>
                <c:pt idx="11">
                  <c:v>Gerald Murphy</c:v>
                </c:pt>
                <c:pt idx="12">
                  <c:v>Sandra Phillips</c:v>
                </c:pt>
                <c:pt idx="13">
                  <c:v>Michael Brown</c:v>
                </c:pt>
                <c:pt idx="14">
                  <c:v>Peter Richardson</c:v>
                </c:pt>
                <c:pt idx="15">
                  <c:v>Betty Campbell</c:v>
                </c:pt>
                <c:pt idx="16">
                  <c:v>Sharon Butler</c:v>
                </c:pt>
                <c:pt idx="17">
                  <c:v>Harry Morgan</c:v>
                </c:pt>
                <c:pt idx="18">
                  <c:v>Sarah Davis</c:v>
                </c:pt>
                <c:pt idx="19">
                  <c:v>Charles Allen</c:v>
                </c:pt>
                <c:pt idx="20">
                  <c:v>Douglas Watson</c:v>
                </c:pt>
                <c:pt idx="21">
                  <c:v>Virginia Sanders</c:v>
                </c:pt>
                <c:pt idx="22">
                  <c:v>William White</c:v>
                </c:pt>
                <c:pt idx="23">
                  <c:v>Jennifer Taylor</c:v>
                </c:pt>
                <c:pt idx="24">
                  <c:v>Kathleen Bennett</c:v>
                </c:pt>
                <c:pt idx="25">
                  <c:v>Michelle Rogers</c:v>
                </c:pt>
                <c:pt idx="26">
                  <c:v>Nancy Collins</c:v>
                </c:pt>
                <c:pt idx="27">
                  <c:v>George Adams</c:v>
                </c:pt>
                <c:pt idx="28">
                  <c:v>Cynthia Price</c:v>
                </c:pt>
                <c:pt idx="29">
                  <c:v>Raymond Ross</c:v>
                </c:pt>
                <c:pt idx="30">
                  <c:v>Elizabeth Hall</c:v>
                </c:pt>
                <c:pt idx="31">
                  <c:v>Robert Thomas</c:v>
                </c:pt>
                <c:pt idx="32">
                  <c:v>Kevin Scott</c:v>
                </c:pt>
                <c:pt idx="33">
                  <c:v>Steven Turner</c:v>
                </c:pt>
                <c:pt idx="34">
                  <c:v>Margaret Wright</c:v>
                </c:pt>
                <c:pt idx="35">
                  <c:v>Lisa Anderson</c:v>
                </c:pt>
                <c:pt idx="36">
                  <c:v>Susan Green</c:v>
                </c:pt>
                <c:pt idx="37">
                  <c:v>Maria Garcia</c:v>
                </c:pt>
                <c:pt idx="38">
                  <c:v>David Martinez</c:v>
                </c:pt>
                <c:pt idx="39">
                  <c:v>Ruth Brooks</c:v>
                </c:pt>
                <c:pt idx="40">
                  <c:v>Arthur Edwards</c:v>
                </c:pt>
                <c:pt idx="41">
                  <c:v>Frank Torres</c:v>
                </c:pt>
                <c:pt idx="42">
                  <c:v>Linda Martin</c:v>
                </c:pt>
                <c:pt idx="43">
                  <c:v>Emma Wilson</c:v>
                </c:pt>
                <c:pt idx="44">
                  <c:v>Carol Evans</c:v>
                </c:pt>
                <c:pt idx="45">
                  <c:v>Richard Lee</c:v>
                </c:pt>
                <c:pt idx="46">
                  <c:v>John Smith</c:v>
                </c:pt>
                <c:pt idx="47">
                  <c:v>Dennis Gray</c:v>
                </c:pt>
                <c:pt idx="48">
                  <c:v>Julie Foster</c:v>
                </c:pt>
                <c:pt idx="49">
                  <c:v>James Johnson</c:v>
                </c:pt>
              </c:strCache>
            </c:strRef>
          </c:cat>
          <c:val>
            <c:numRef>
              <c:f>Visualizations!$B$4:$B$54</c:f>
              <c:numCache>
                <c:formatCode>General</c:formatCode>
                <c:ptCount val="5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pt idx="10">
                  <c:v>6459.79</c:v>
                </c:pt>
                <c:pt idx="11">
                  <c:v>6379.87</c:v>
                </c:pt>
                <c:pt idx="12">
                  <c:v>6349.83</c:v>
                </c:pt>
                <c:pt idx="13">
                  <c:v>6169.7400000000007</c:v>
                </c:pt>
                <c:pt idx="14">
                  <c:v>5949.85</c:v>
                </c:pt>
                <c:pt idx="15">
                  <c:v>5649.84</c:v>
                </c:pt>
                <c:pt idx="16">
                  <c:v>5619.869999999999</c:v>
                </c:pt>
                <c:pt idx="17">
                  <c:v>5519.8899999999994</c:v>
                </c:pt>
                <c:pt idx="18">
                  <c:v>5499.8099999999995</c:v>
                </c:pt>
                <c:pt idx="19">
                  <c:v>5089.7300000000005</c:v>
                </c:pt>
                <c:pt idx="20">
                  <c:v>4829.8899999999994</c:v>
                </c:pt>
                <c:pt idx="21">
                  <c:v>4789.7900000000009</c:v>
                </c:pt>
                <c:pt idx="22">
                  <c:v>4749.91</c:v>
                </c:pt>
                <c:pt idx="23">
                  <c:v>4739.8500000000004</c:v>
                </c:pt>
                <c:pt idx="24">
                  <c:v>4309.8099999999995</c:v>
                </c:pt>
                <c:pt idx="25">
                  <c:v>4199.9399999999996</c:v>
                </c:pt>
                <c:pt idx="26">
                  <c:v>4189.7700000000004</c:v>
                </c:pt>
                <c:pt idx="27">
                  <c:v>3779.93</c:v>
                </c:pt>
                <c:pt idx="28">
                  <c:v>3769.8300000000004</c:v>
                </c:pt>
                <c:pt idx="29">
                  <c:v>3669.8500000000004</c:v>
                </c:pt>
                <c:pt idx="30">
                  <c:v>3649.8599999999997</c:v>
                </c:pt>
                <c:pt idx="31">
                  <c:v>3509.8999999999996</c:v>
                </c:pt>
                <c:pt idx="32">
                  <c:v>3259.87</c:v>
                </c:pt>
                <c:pt idx="33">
                  <c:v>2649.83</c:v>
                </c:pt>
                <c:pt idx="34">
                  <c:v>2099.88</c:v>
                </c:pt>
                <c:pt idx="35">
                  <c:v>2039.8000000000002</c:v>
                </c:pt>
                <c:pt idx="36">
                  <c:v>1979.89</c:v>
                </c:pt>
                <c:pt idx="37">
                  <c:v>1909.93</c:v>
                </c:pt>
                <c:pt idx="38">
                  <c:v>1809.84</c:v>
                </c:pt>
                <c:pt idx="39">
                  <c:v>1749.92</c:v>
                </c:pt>
                <c:pt idx="40">
                  <c:v>1559.94</c:v>
                </c:pt>
                <c:pt idx="41">
                  <c:v>1479.91</c:v>
                </c:pt>
                <c:pt idx="42">
                  <c:v>1289.9000000000001</c:v>
                </c:pt>
                <c:pt idx="43">
                  <c:v>1229.8800000000001</c:v>
                </c:pt>
                <c:pt idx="44">
                  <c:v>1149.93</c:v>
                </c:pt>
                <c:pt idx="45">
                  <c:v>739.93000000000006</c:v>
                </c:pt>
                <c:pt idx="46">
                  <c:v>599.96</c:v>
                </c:pt>
                <c:pt idx="47">
                  <c:v>479.91999999999996</c:v>
                </c:pt>
                <c:pt idx="48">
                  <c:v>239.96</c:v>
                </c:pt>
                <c:pt idx="49">
                  <c:v>179.97</c:v>
                </c:pt>
              </c:numCache>
            </c:numRef>
          </c:val>
          <c:smooth val="0"/>
          <c:extLst>
            <c:ext xmlns:c16="http://schemas.microsoft.com/office/drawing/2014/chart" uri="{C3380CC4-5D6E-409C-BE32-E72D297353CC}">
              <c16:uniqueId val="{00000000-8DBA-40B3-868D-EDBEB0EAA832}"/>
            </c:ext>
          </c:extLst>
        </c:ser>
        <c:dLbls>
          <c:showLegendKey val="0"/>
          <c:showVal val="0"/>
          <c:showCatName val="0"/>
          <c:showSerName val="0"/>
          <c:showPercent val="0"/>
          <c:showBubbleSize val="0"/>
        </c:dLbls>
        <c:marker val="1"/>
        <c:smooth val="0"/>
        <c:axId val="1927625871"/>
        <c:axId val="1927623951"/>
      </c:lineChart>
      <c:catAx>
        <c:axId val="19276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23951"/>
        <c:crosses val="autoZero"/>
        <c:auto val="1"/>
        <c:lblAlgn val="ctr"/>
        <c:lblOffset val="100"/>
        <c:noMultiLvlLbl val="0"/>
      </c:catAx>
      <c:valAx>
        <c:axId val="192762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258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Final Project (11).xlsx]Visualizations!PivotTable4</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Rigion wise Total Sales  </a:t>
            </a:r>
          </a:p>
        </c:rich>
      </c:tx>
      <c:layout>
        <c:manualLayout>
          <c:xMode val="edge"/>
          <c:yMode val="edge"/>
          <c:x val="0.19734694217309171"/>
          <c:y val="4.24999962817151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53000"/>
            </a:schemeClr>
          </a:solidFill>
          <a:ln>
            <a:noFill/>
          </a:ln>
          <a:effectLst>
            <a:outerShdw blurRad="317500" algn="ctr" rotWithShape="0">
              <a:prstClr val="black">
                <a:alpha val="25000"/>
              </a:prstClr>
            </a:outerShdw>
          </a:effectLst>
        </c:spPr>
      </c:pivotFmt>
      <c:pivotFmt>
        <c:idx val="2"/>
        <c:spPr>
          <a:solidFill>
            <a:schemeClr val="accent3">
              <a:shade val="76000"/>
            </a:schemeClr>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tint val="77000"/>
            </a:schemeClr>
          </a:solidFill>
          <a:ln>
            <a:noFill/>
          </a:ln>
          <a:effectLst>
            <a:outerShdw blurRad="317500" algn="ctr" rotWithShape="0">
              <a:prstClr val="black">
                <a:alpha val="25000"/>
              </a:prstClr>
            </a:outerShdw>
          </a:effectLst>
        </c:spPr>
      </c:pivotFmt>
      <c:pivotFmt>
        <c:idx val="5"/>
        <c:spPr>
          <a:solidFill>
            <a:schemeClr val="accent3">
              <a:tint val="54000"/>
            </a:schemeClr>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hade val="53000"/>
            </a:schemeClr>
          </a:solidFill>
          <a:ln>
            <a:noFill/>
          </a:ln>
          <a:effectLst>
            <a:outerShdw blurRad="317500" algn="ctr" rotWithShape="0">
              <a:prstClr val="black">
                <a:alpha val="25000"/>
              </a:prstClr>
            </a:outerShdw>
          </a:effectLst>
        </c:spPr>
      </c:pivotFmt>
      <c:pivotFmt>
        <c:idx val="8"/>
        <c:spPr>
          <a:solidFill>
            <a:schemeClr val="accent3">
              <a:shade val="76000"/>
            </a:schemeClr>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3">
              <a:tint val="77000"/>
            </a:schemeClr>
          </a:solidFill>
          <a:ln>
            <a:noFill/>
          </a:ln>
          <a:effectLst>
            <a:outerShdw blurRad="317500" algn="ctr" rotWithShape="0">
              <a:prstClr val="black">
                <a:alpha val="25000"/>
              </a:prstClr>
            </a:outerShdw>
          </a:effectLst>
        </c:spPr>
      </c:pivotFmt>
      <c:pivotFmt>
        <c:idx val="11"/>
        <c:spPr>
          <a:solidFill>
            <a:schemeClr val="accent3">
              <a:tint val="54000"/>
            </a:schemeClr>
          </a:solidFill>
          <a:ln>
            <a:noFill/>
          </a:ln>
          <a:effectLst>
            <a:outerShdw blurRad="317500" algn="ctr" rotWithShape="0">
              <a:prstClr val="black">
                <a:alpha val="25000"/>
              </a:prstClr>
            </a:outerShdw>
          </a:effectLst>
        </c:spPr>
      </c:pivotFmt>
      <c:pivotFmt>
        <c:idx val="12"/>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hade val="53000"/>
            </a:schemeClr>
          </a:solidFill>
          <a:ln>
            <a:noFill/>
          </a:ln>
          <a:effectLst>
            <a:outerShdw blurRad="317500" algn="ctr" rotWithShape="0">
              <a:prstClr val="black">
                <a:alpha val="25000"/>
              </a:prstClr>
            </a:outerShdw>
          </a:effectLst>
        </c:spPr>
      </c:pivotFmt>
      <c:pivotFmt>
        <c:idx val="14"/>
        <c:spPr>
          <a:solidFill>
            <a:schemeClr val="accent3">
              <a:shade val="76000"/>
            </a:schemeClr>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3">
              <a:tint val="77000"/>
            </a:schemeClr>
          </a:solidFill>
          <a:ln>
            <a:noFill/>
          </a:ln>
          <a:effectLst>
            <a:outerShdw blurRad="317500" algn="ctr" rotWithShape="0">
              <a:prstClr val="black">
                <a:alpha val="25000"/>
              </a:prstClr>
            </a:outerShdw>
          </a:effectLst>
        </c:spPr>
      </c:pivotFmt>
      <c:pivotFmt>
        <c:idx val="17"/>
        <c:spPr>
          <a:solidFill>
            <a:schemeClr val="accent3">
              <a:tint val="54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Visualizations!$K$1</c:f>
              <c:strCache>
                <c:ptCount val="1"/>
                <c:pt idx="0">
                  <c:v>Total</c:v>
                </c:pt>
              </c:strCache>
            </c:strRef>
          </c:tx>
          <c:dPt>
            <c:idx val="0"/>
            <c:bubble3D val="0"/>
            <c:spPr>
              <a:solidFill>
                <a:schemeClr val="accent3">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F02-4F37-8027-4B041C245138}"/>
              </c:ext>
            </c:extLst>
          </c:dPt>
          <c:dPt>
            <c:idx val="1"/>
            <c:bubble3D val="0"/>
            <c:spPr>
              <a:solidFill>
                <a:schemeClr val="accent3">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F02-4F37-8027-4B041C24513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F02-4F37-8027-4B041C245138}"/>
              </c:ext>
            </c:extLst>
          </c:dPt>
          <c:dPt>
            <c:idx val="3"/>
            <c:bubble3D val="0"/>
            <c:spPr>
              <a:solidFill>
                <a:schemeClr val="accent3">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F02-4F37-8027-4B041C245138}"/>
              </c:ext>
            </c:extLst>
          </c:dPt>
          <c:dPt>
            <c:idx val="4"/>
            <c:bubble3D val="0"/>
            <c:spPr>
              <a:solidFill>
                <a:schemeClr val="accent3">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F02-4F37-8027-4B041C2451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Visualizations!$J$2:$J$7</c:f>
              <c:strCache>
                <c:ptCount val="5"/>
                <c:pt idx="0">
                  <c:v>East</c:v>
                </c:pt>
                <c:pt idx="1">
                  <c:v>North</c:v>
                </c:pt>
                <c:pt idx="2">
                  <c:v>West</c:v>
                </c:pt>
                <c:pt idx="3">
                  <c:v>Central</c:v>
                </c:pt>
                <c:pt idx="4">
                  <c:v>South</c:v>
                </c:pt>
              </c:strCache>
            </c:strRef>
          </c:cat>
          <c:val>
            <c:numRef>
              <c:f>Visualizations!$K$2:$K$7</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A-6F02-4F37-8027-4B041C245138}"/>
            </c:ext>
          </c:extLst>
        </c:ser>
        <c:dLbls>
          <c:dLblPos val="inEnd"/>
          <c:showLegendKey val="0"/>
          <c:showVal val="0"/>
          <c:showCatName val="0"/>
          <c:showSerName val="0"/>
          <c:showPercent val="1"/>
          <c:showBubbleSize val="0"/>
          <c:showLeaderLines val="1"/>
        </c:dLbls>
        <c:firstSliceAng val="0"/>
      </c:pieChart>
      <c:spPr>
        <a:solidFill>
          <a:schemeClr val="bg1"/>
        </a:solid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2">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 (11).xlsx]Visualizations!PivotTable3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a:t>
            </a:r>
            <a:r>
              <a:rPr lang="en-IN" baseline="0"/>
              <a:t> wise Total Quantity</a:t>
            </a:r>
          </a:p>
        </c:rich>
      </c:tx>
      <c:overlay val="0"/>
      <c:spPr>
        <a:noFill/>
        <a:ln>
          <a:solidFill>
            <a:schemeClr val="bg2">
              <a:lumMod val="85000"/>
            </a:schemeClr>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254000" sx="102000" sy="102000" algn="ctr" rotWithShape="0">
              <a:prstClr val="black">
                <a:alpha val="20000"/>
              </a:prstClr>
            </a:outerShdw>
          </a:effectLst>
        </c:spPr>
      </c:pivotFmt>
      <c:pivotFmt>
        <c:idx val="2"/>
        <c:spPr>
          <a:solidFill>
            <a:schemeClr val="dk1">
              <a:tint val="88500"/>
            </a:schemeClr>
          </a:solidFill>
          <a:ln>
            <a:noFill/>
          </a:ln>
          <a:effectLst>
            <a:outerShdw blurRad="254000" sx="102000" sy="102000" algn="ctr" rotWithShape="0">
              <a:prstClr val="black">
                <a:alpha val="20000"/>
              </a:prstClr>
            </a:outerShdw>
          </a:effectLst>
        </c:spPr>
      </c:pivotFmt>
      <c:pivotFmt>
        <c:idx val="3"/>
        <c:spPr>
          <a:solidFill>
            <a:schemeClr val="dk1">
              <a:tint val="88500"/>
            </a:schemeClr>
          </a:solidFill>
          <a:ln>
            <a:noFill/>
          </a:ln>
          <a:effectLst>
            <a:outerShdw blurRad="254000" sx="102000" sy="102000" algn="ctr" rotWithShape="0">
              <a:prstClr val="black">
                <a:alpha val="20000"/>
              </a:prstClr>
            </a:outerShdw>
          </a:effectLst>
        </c:spPr>
      </c:pivotFmt>
      <c:pivotFmt>
        <c:idx val="4"/>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254000" sx="102000" sy="102000" algn="ctr" rotWithShape="0">
              <a:prstClr val="black">
                <a:alpha val="20000"/>
              </a:prstClr>
            </a:outerShdw>
          </a:effectLst>
        </c:spPr>
      </c:pivotFmt>
      <c:pivotFmt>
        <c:idx val="6"/>
        <c:spPr>
          <a:solidFill>
            <a:schemeClr val="dk1">
              <a:tint val="88500"/>
            </a:schemeClr>
          </a:solidFill>
          <a:ln>
            <a:noFill/>
          </a:ln>
          <a:effectLst>
            <a:outerShdw blurRad="254000" sx="102000" sy="102000" algn="ctr" rotWithShape="0">
              <a:prstClr val="black">
                <a:alpha val="20000"/>
              </a:prstClr>
            </a:outerShdw>
          </a:effectLst>
        </c:spPr>
      </c:pivotFmt>
      <c:pivotFmt>
        <c:idx val="7"/>
        <c:spPr>
          <a:solidFill>
            <a:schemeClr val="dk1">
              <a:tint val="88500"/>
            </a:schemeClr>
          </a:solidFill>
          <a:ln>
            <a:noFill/>
          </a:ln>
          <a:effectLst>
            <a:outerShdw blurRad="254000" sx="102000" sy="102000" algn="ctr" rotWithShape="0">
              <a:prstClr val="black">
                <a:alpha val="20000"/>
              </a:prstClr>
            </a:outerShdw>
          </a:effectLst>
        </c:spPr>
      </c:pivotFmt>
      <c:pivotFmt>
        <c:idx val="8"/>
        <c:spPr>
          <a:solidFill>
            <a:schemeClr val="dk1">
              <a:tint val="88500"/>
            </a:schemeClr>
          </a:solidFill>
          <a:ln w="6350">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w="6350">
            <a:noFill/>
          </a:ln>
          <a:effectLst>
            <a:outerShdw blurRad="254000" sx="102000" sy="102000" algn="ctr" rotWithShape="0">
              <a:prstClr val="black">
                <a:alpha val="20000"/>
              </a:prstClr>
            </a:outerShdw>
          </a:effectLst>
        </c:spPr>
      </c:pivotFmt>
      <c:pivotFmt>
        <c:idx val="10"/>
        <c:spPr>
          <a:solidFill>
            <a:schemeClr val="dk1">
              <a:tint val="88500"/>
            </a:schemeClr>
          </a:solidFill>
          <a:ln w="6350">
            <a:noFill/>
          </a:ln>
          <a:effectLst>
            <a:outerShdw blurRad="254000" sx="102000" sy="102000" algn="ctr" rotWithShape="0">
              <a:prstClr val="black">
                <a:alpha val="20000"/>
              </a:prstClr>
            </a:outerShdw>
          </a:effectLst>
        </c:spPr>
      </c:pivotFmt>
      <c:pivotFmt>
        <c:idx val="11"/>
        <c:spPr>
          <a:solidFill>
            <a:schemeClr val="dk1">
              <a:tint val="88500"/>
            </a:schemeClr>
          </a:solidFill>
          <a:ln w="6350">
            <a:noFill/>
          </a:ln>
          <a:effectLst>
            <a:outerShdw blurRad="254000" sx="102000" sy="102000" algn="ctr" rotWithShape="0">
              <a:prstClr val="black">
                <a:alpha val="20000"/>
              </a:prstClr>
            </a:outerShdw>
          </a:effectLst>
        </c:spPr>
      </c:pivotFmt>
    </c:pivotFmts>
    <c:plotArea>
      <c:layout/>
      <c:pieChart>
        <c:varyColors val="1"/>
        <c:ser>
          <c:idx val="0"/>
          <c:order val="0"/>
          <c:tx>
            <c:strRef>
              <c:f>Visualizations!$H$2</c:f>
              <c:strCache>
                <c:ptCount val="1"/>
                <c:pt idx="0">
                  <c:v>Total</c:v>
                </c:pt>
              </c:strCache>
            </c:strRef>
          </c:tx>
          <c:spPr>
            <a:ln w="6350"/>
          </c:spPr>
          <c:dPt>
            <c:idx val="0"/>
            <c:bubble3D val="0"/>
            <c:spPr>
              <a:solidFill>
                <a:schemeClr val="dk1">
                  <a:tint val="88500"/>
                </a:schemeClr>
              </a:solidFill>
              <a:ln w="6350">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B0-40B3-B76F-4044F7D7AEEE}"/>
              </c:ext>
            </c:extLst>
          </c:dPt>
          <c:dPt>
            <c:idx val="1"/>
            <c:bubble3D val="0"/>
            <c:spPr>
              <a:solidFill>
                <a:schemeClr val="dk1">
                  <a:tint val="55000"/>
                </a:schemeClr>
              </a:solidFill>
              <a:ln w="6350">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B0-40B3-B76F-4044F7D7AEEE}"/>
              </c:ext>
            </c:extLst>
          </c:dPt>
          <c:dPt>
            <c:idx val="2"/>
            <c:bubble3D val="0"/>
            <c:spPr>
              <a:solidFill>
                <a:schemeClr val="dk1">
                  <a:tint val="75000"/>
                </a:schemeClr>
              </a:solidFill>
              <a:ln w="6350">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8B0-40B3-B76F-4044F7D7AEE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Visualizations!$G$3:$G$6</c:f>
              <c:strCache>
                <c:ptCount val="3"/>
                <c:pt idx="0">
                  <c:v>Appliances</c:v>
                </c:pt>
                <c:pt idx="1">
                  <c:v>Electronics</c:v>
                </c:pt>
                <c:pt idx="2">
                  <c:v>Furniture</c:v>
                </c:pt>
              </c:strCache>
            </c:strRef>
          </c:cat>
          <c:val>
            <c:numRef>
              <c:f>Visualizations!$H$3:$H$6</c:f>
              <c:numCache>
                <c:formatCode>General</c:formatCode>
                <c:ptCount val="3"/>
                <c:pt idx="0">
                  <c:v>43</c:v>
                </c:pt>
                <c:pt idx="1">
                  <c:v>131</c:v>
                </c:pt>
                <c:pt idx="2">
                  <c:v>76</c:v>
                </c:pt>
              </c:numCache>
            </c:numRef>
          </c:val>
          <c:extLst>
            <c:ext xmlns:c16="http://schemas.microsoft.com/office/drawing/2014/chart" uri="{C3380CC4-5D6E-409C-BE32-E72D297353CC}">
              <c16:uniqueId val="{00000006-48B0-40B3-B76F-4044F7D7AEE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(11).xlsx]Visualizations!PivotTable2</c:name>
    <c:fmtId val="1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Product wise Total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Visualizations!$D$3:$D$13</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Visualizations!$E$3:$E$13</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F06B-46D1-9501-05483CBDF887}"/>
            </c:ext>
          </c:extLst>
        </c:ser>
        <c:dLbls>
          <c:dLblPos val="outEnd"/>
          <c:showLegendKey val="0"/>
          <c:showVal val="1"/>
          <c:showCatName val="0"/>
          <c:showSerName val="0"/>
          <c:showPercent val="0"/>
          <c:showBubbleSize val="0"/>
        </c:dLbls>
        <c:gapWidth val="326"/>
        <c:overlap val="-58"/>
        <c:axId val="161671727"/>
        <c:axId val="161674607"/>
      </c:barChart>
      <c:catAx>
        <c:axId val="161671727"/>
        <c:scaling>
          <c:orientation val="minMax"/>
        </c:scaling>
        <c:delete val="0"/>
        <c:axPos val="l"/>
        <c:minorGridlines>
          <c:spPr>
            <a:ln w="9525" cap="flat" cmpd="sng" algn="ctr">
              <a:solidFill>
                <a:schemeClr val="bg2">
                  <a:lumMod val="85000"/>
                </a:schemeClr>
              </a:solidFill>
              <a:round/>
            </a:ln>
            <a:effectLst/>
          </c:spPr>
        </c:minorGridlines>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4607"/>
        <c:crosses val="autoZero"/>
        <c:auto val="1"/>
        <c:lblAlgn val="ctr"/>
        <c:lblOffset val="100"/>
        <c:noMultiLvlLbl val="0"/>
      </c:catAx>
      <c:valAx>
        <c:axId val="16167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Final Project (11).xlsx]Visualizations!PivotTable4</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Rigion wise Total Sales  </a:t>
            </a:r>
          </a:p>
        </c:rich>
      </c:tx>
      <c:layout>
        <c:manualLayout>
          <c:xMode val="edge"/>
          <c:yMode val="edge"/>
          <c:x val="0.19734694217309171"/>
          <c:y val="4.24999962817151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53000"/>
            </a:schemeClr>
          </a:solidFill>
          <a:ln>
            <a:noFill/>
          </a:ln>
          <a:effectLst>
            <a:outerShdw blurRad="317500" algn="ctr" rotWithShape="0">
              <a:prstClr val="black">
                <a:alpha val="25000"/>
              </a:prstClr>
            </a:outerShdw>
          </a:effectLst>
        </c:spPr>
      </c:pivotFmt>
      <c:pivotFmt>
        <c:idx val="2"/>
        <c:spPr>
          <a:solidFill>
            <a:schemeClr val="accent3">
              <a:shade val="76000"/>
            </a:schemeClr>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tint val="77000"/>
            </a:schemeClr>
          </a:solidFill>
          <a:ln>
            <a:noFill/>
          </a:ln>
          <a:effectLst>
            <a:outerShdw blurRad="317500" algn="ctr" rotWithShape="0">
              <a:prstClr val="black">
                <a:alpha val="25000"/>
              </a:prstClr>
            </a:outerShdw>
          </a:effectLst>
        </c:spPr>
      </c:pivotFmt>
      <c:pivotFmt>
        <c:idx val="5"/>
        <c:spPr>
          <a:solidFill>
            <a:schemeClr val="accent3">
              <a:tint val="54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Visualizations!$K$1</c:f>
              <c:strCache>
                <c:ptCount val="1"/>
                <c:pt idx="0">
                  <c:v>Total</c:v>
                </c:pt>
              </c:strCache>
            </c:strRef>
          </c:tx>
          <c:dPt>
            <c:idx val="0"/>
            <c:bubble3D val="0"/>
            <c:spPr>
              <a:solidFill>
                <a:schemeClr val="accent3">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9D-43A6-81BD-ACFACE1CF492}"/>
              </c:ext>
            </c:extLst>
          </c:dPt>
          <c:dPt>
            <c:idx val="1"/>
            <c:bubble3D val="0"/>
            <c:spPr>
              <a:solidFill>
                <a:schemeClr val="accent3">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9D-43A6-81BD-ACFACE1CF49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D9D-43A6-81BD-ACFACE1CF492}"/>
              </c:ext>
            </c:extLst>
          </c:dPt>
          <c:dPt>
            <c:idx val="3"/>
            <c:bubble3D val="0"/>
            <c:spPr>
              <a:solidFill>
                <a:schemeClr val="accent3">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D9D-43A6-81BD-ACFACE1CF492}"/>
              </c:ext>
            </c:extLst>
          </c:dPt>
          <c:dPt>
            <c:idx val="4"/>
            <c:bubble3D val="0"/>
            <c:spPr>
              <a:solidFill>
                <a:schemeClr val="accent3">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D9D-43A6-81BD-ACFACE1CF4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Visualizations!$J$2:$J$7</c:f>
              <c:strCache>
                <c:ptCount val="5"/>
                <c:pt idx="0">
                  <c:v>East</c:v>
                </c:pt>
                <c:pt idx="1">
                  <c:v>North</c:v>
                </c:pt>
                <c:pt idx="2">
                  <c:v>West</c:v>
                </c:pt>
                <c:pt idx="3">
                  <c:v>Central</c:v>
                </c:pt>
                <c:pt idx="4">
                  <c:v>South</c:v>
                </c:pt>
              </c:strCache>
            </c:strRef>
          </c:cat>
          <c:val>
            <c:numRef>
              <c:f>Visualizations!$K$2:$K$7</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8CFB-4135-A34D-C925A28B498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 (11).xlsx]Visualizations!PivotTable3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a:t>
            </a:r>
            <a:r>
              <a:rPr lang="en-IN" baseline="0"/>
              <a:t> wise Total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254000" sx="102000" sy="102000" algn="ctr" rotWithShape="0">
              <a:prstClr val="black">
                <a:alpha val="20000"/>
              </a:prstClr>
            </a:outerShdw>
          </a:effectLst>
        </c:spPr>
      </c:pivotFmt>
      <c:pivotFmt>
        <c:idx val="2"/>
        <c:spPr>
          <a:solidFill>
            <a:schemeClr val="dk1">
              <a:tint val="88500"/>
            </a:schemeClr>
          </a:solidFill>
          <a:ln>
            <a:noFill/>
          </a:ln>
          <a:effectLst>
            <a:outerShdw blurRad="254000" sx="102000" sy="102000" algn="ctr" rotWithShape="0">
              <a:prstClr val="black">
                <a:alpha val="20000"/>
              </a:prstClr>
            </a:outerShdw>
          </a:effectLst>
        </c:spPr>
      </c:pivotFmt>
      <c:pivotFmt>
        <c:idx val="3"/>
        <c:spPr>
          <a:solidFill>
            <a:schemeClr val="dk1">
              <a:tint val="885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Visualizations!$H$2</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C7-4D20-B22E-384472E0F41D}"/>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C7-4D20-B22E-384472E0F41D}"/>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C7-4D20-B22E-384472E0F41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Visualizations!$G$3:$G$6</c:f>
              <c:strCache>
                <c:ptCount val="3"/>
                <c:pt idx="0">
                  <c:v>Appliances</c:v>
                </c:pt>
                <c:pt idx="1">
                  <c:v>Electronics</c:v>
                </c:pt>
                <c:pt idx="2">
                  <c:v>Furniture</c:v>
                </c:pt>
              </c:strCache>
            </c:strRef>
          </c:cat>
          <c:val>
            <c:numRef>
              <c:f>Visualizations!$H$3:$H$6</c:f>
              <c:numCache>
                <c:formatCode>General</c:formatCode>
                <c:ptCount val="3"/>
                <c:pt idx="0">
                  <c:v>43</c:v>
                </c:pt>
                <c:pt idx="1">
                  <c:v>131</c:v>
                </c:pt>
                <c:pt idx="2">
                  <c:v>76</c:v>
                </c:pt>
              </c:numCache>
            </c:numRef>
          </c:val>
          <c:extLst>
            <c:ext xmlns:c16="http://schemas.microsoft.com/office/drawing/2014/chart" uri="{C3380CC4-5D6E-409C-BE32-E72D297353CC}">
              <c16:uniqueId val="{00000000-0C93-4456-989C-4C96C734F0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(11).xlsx]Visualizations!PivotTable2</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Product wise Total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Visualizations!$D$3:$D$13</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Visualizations!$E$3:$E$13</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3-5F49-4265-8910-395481C25CC8}"/>
            </c:ext>
          </c:extLst>
        </c:ser>
        <c:dLbls>
          <c:dLblPos val="outEnd"/>
          <c:showLegendKey val="0"/>
          <c:showVal val="1"/>
          <c:showCatName val="0"/>
          <c:showSerName val="0"/>
          <c:showPercent val="0"/>
          <c:showBubbleSize val="0"/>
        </c:dLbls>
        <c:gapWidth val="326"/>
        <c:overlap val="-58"/>
        <c:axId val="161671727"/>
        <c:axId val="161674607"/>
      </c:barChart>
      <c:catAx>
        <c:axId val="161671727"/>
        <c:scaling>
          <c:orientation val="minMax"/>
        </c:scaling>
        <c:delete val="0"/>
        <c:axPos val="l"/>
        <c:minorGridlines>
          <c:spPr>
            <a:ln w="9525" cap="flat" cmpd="sng" algn="ctr">
              <a:gradFill>
                <a:gsLst>
                  <a:gs pos="100000">
                    <a:schemeClr val="tx1">
                      <a:lumMod val="15000"/>
                      <a:lumOff val="85000"/>
                    </a:schemeClr>
                  </a:gs>
                  <a:gs pos="0">
                    <a:schemeClr val="tx1">
                      <a:lumMod val="5000"/>
                      <a:lumOff val="95000"/>
                    </a:schemeClr>
                  </a:gs>
                </a:gsLst>
                <a:lin ang="5400000" scaled="0"/>
              </a:gradFill>
              <a:round/>
            </a:ln>
            <a:effectLst/>
          </c:spPr>
        </c:minorGridlines>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4607"/>
        <c:crosses val="autoZero"/>
        <c:auto val="1"/>
        <c:lblAlgn val="ctr"/>
        <c:lblOffset val="100"/>
        <c:noMultiLvlLbl val="0"/>
      </c:catAx>
      <c:valAx>
        <c:axId val="16167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Final Project (11).xlsx]Visualizations!PivotTable6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Customer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Visualizations!$B$3</c:f>
              <c:strCache>
                <c:ptCount val="1"/>
                <c:pt idx="0">
                  <c:v>Total</c:v>
                </c:pt>
              </c:strCache>
            </c:strRef>
          </c:tx>
          <c:spPr>
            <a:ln w="28575" cap="rnd">
              <a:solidFill>
                <a:schemeClr val="accent2"/>
              </a:solidFill>
              <a:round/>
            </a:ln>
            <a:effectLst/>
          </c:spPr>
          <c:marker>
            <c:symbol val="none"/>
          </c:marker>
          <c:cat>
            <c:strRef>
              <c:f>Visualizations!$A$4:$A$54</c:f>
              <c:strCache>
                <c:ptCount val="5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pt idx="10">
                  <c:v>Helen Roberts</c:v>
                </c:pt>
                <c:pt idx="11">
                  <c:v>Gerald Murphy</c:v>
                </c:pt>
                <c:pt idx="12">
                  <c:v>Sandra Phillips</c:v>
                </c:pt>
                <c:pt idx="13">
                  <c:v>Michael Brown</c:v>
                </c:pt>
                <c:pt idx="14">
                  <c:v>Peter Richardson</c:v>
                </c:pt>
                <c:pt idx="15">
                  <c:v>Betty Campbell</c:v>
                </c:pt>
                <c:pt idx="16">
                  <c:v>Sharon Butler</c:v>
                </c:pt>
                <c:pt idx="17">
                  <c:v>Harry Morgan</c:v>
                </c:pt>
                <c:pt idx="18">
                  <c:v>Sarah Davis</c:v>
                </c:pt>
                <c:pt idx="19">
                  <c:v>Charles Allen</c:v>
                </c:pt>
                <c:pt idx="20">
                  <c:v>Douglas Watson</c:v>
                </c:pt>
                <c:pt idx="21">
                  <c:v>Virginia Sanders</c:v>
                </c:pt>
                <c:pt idx="22">
                  <c:v>William White</c:v>
                </c:pt>
                <c:pt idx="23">
                  <c:v>Jennifer Taylor</c:v>
                </c:pt>
                <c:pt idx="24">
                  <c:v>Kathleen Bennett</c:v>
                </c:pt>
                <c:pt idx="25">
                  <c:v>Michelle Rogers</c:v>
                </c:pt>
                <c:pt idx="26">
                  <c:v>Nancy Collins</c:v>
                </c:pt>
                <c:pt idx="27">
                  <c:v>George Adams</c:v>
                </c:pt>
                <c:pt idx="28">
                  <c:v>Cynthia Price</c:v>
                </c:pt>
                <c:pt idx="29">
                  <c:v>Raymond Ross</c:v>
                </c:pt>
                <c:pt idx="30">
                  <c:v>Elizabeth Hall</c:v>
                </c:pt>
                <c:pt idx="31">
                  <c:v>Robert Thomas</c:v>
                </c:pt>
                <c:pt idx="32">
                  <c:v>Kevin Scott</c:v>
                </c:pt>
                <c:pt idx="33">
                  <c:v>Steven Turner</c:v>
                </c:pt>
                <c:pt idx="34">
                  <c:v>Margaret Wright</c:v>
                </c:pt>
                <c:pt idx="35">
                  <c:v>Lisa Anderson</c:v>
                </c:pt>
                <c:pt idx="36">
                  <c:v>Susan Green</c:v>
                </c:pt>
                <c:pt idx="37">
                  <c:v>Maria Garcia</c:v>
                </c:pt>
                <c:pt idx="38">
                  <c:v>David Martinez</c:v>
                </c:pt>
                <c:pt idx="39">
                  <c:v>Ruth Brooks</c:v>
                </c:pt>
                <c:pt idx="40">
                  <c:v>Arthur Edwards</c:v>
                </c:pt>
                <c:pt idx="41">
                  <c:v>Frank Torres</c:v>
                </c:pt>
                <c:pt idx="42">
                  <c:v>Linda Martin</c:v>
                </c:pt>
                <c:pt idx="43">
                  <c:v>Emma Wilson</c:v>
                </c:pt>
                <c:pt idx="44">
                  <c:v>Carol Evans</c:v>
                </c:pt>
                <c:pt idx="45">
                  <c:v>Richard Lee</c:v>
                </c:pt>
                <c:pt idx="46">
                  <c:v>John Smith</c:v>
                </c:pt>
                <c:pt idx="47">
                  <c:v>Dennis Gray</c:v>
                </c:pt>
                <c:pt idx="48">
                  <c:v>Julie Foster</c:v>
                </c:pt>
                <c:pt idx="49">
                  <c:v>James Johnson</c:v>
                </c:pt>
              </c:strCache>
            </c:strRef>
          </c:cat>
          <c:val>
            <c:numRef>
              <c:f>Visualizations!$B$4:$B$54</c:f>
              <c:numCache>
                <c:formatCode>General</c:formatCode>
                <c:ptCount val="5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pt idx="10">
                  <c:v>6459.79</c:v>
                </c:pt>
                <c:pt idx="11">
                  <c:v>6379.87</c:v>
                </c:pt>
                <c:pt idx="12">
                  <c:v>6349.83</c:v>
                </c:pt>
                <c:pt idx="13">
                  <c:v>6169.7400000000007</c:v>
                </c:pt>
                <c:pt idx="14">
                  <c:v>5949.85</c:v>
                </c:pt>
                <c:pt idx="15">
                  <c:v>5649.84</c:v>
                </c:pt>
                <c:pt idx="16">
                  <c:v>5619.869999999999</c:v>
                </c:pt>
                <c:pt idx="17">
                  <c:v>5519.8899999999994</c:v>
                </c:pt>
                <c:pt idx="18">
                  <c:v>5499.8099999999995</c:v>
                </c:pt>
                <c:pt idx="19">
                  <c:v>5089.7300000000005</c:v>
                </c:pt>
                <c:pt idx="20">
                  <c:v>4829.8899999999994</c:v>
                </c:pt>
                <c:pt idx="21">
                  <c:v>4789.7900000000009</c:v>
                </c:pt>
                <c:pt idx="22">
                  <c:v>4749.91</c:v>
                </c:pt>
                <c:pt idx="23">
                  <c:v>4739.8500000000004</c:v>
                </c:pt>
                <c:pt idx="24">
                  <c:v>4309.8099999999995</c:v>
                </c:pt>
                <c:pt idx="25">
                  <c:v>4199.9399999999996</c:v>
                </c:pt>
                <c:pt idx="26">
                  <c:v>4189.7700000000004</c:v>
                </c:pt>
                <c:pt idx="27">
                  <c:v>3779.93</c:v>
                </c:pt>
                <c:pt idx="28">
                  <c:v>3769.8300000000004</c:v>
                </c:pt>
                <c:pt idx="29">
                  <c:v>3669.8500000000004</c:v>
                </c:pt>
                <c:pt idx="30">
                  <c:v>3649.8599999999997</c:v>
                </c:pt>
                <c:pt idx="31">
                  <c:v>3509.8999999999996</c:v>
                </c:pt>
                <c:pt idx="32">
                  <c:v>3259.87</c:v>
                </c:pt>
                <c:pt idx="33">
                  <c:v>2649.83</c:v>
                </c:pt>
                <c:pt idx="34">
                  <c:v>2099.88</c:v>
                </c:pt>
                <c:pt idx="35">
                  <c:v>2039.8000000000002</c:v>
                </c:pt>
                <c:pt idx="36">
                  <c:v>1979.89</c:v>
                </c:pt>
                <c:pt idx="37">
                  <c:v>1909.93</c:v>
                </c:pt>
                <c:pt idx="38">
                  <c:v>1809.84</c:v>
                </c:pt>
                <c:pt idx="39">
                  <c:v>1749.92</c:v>
                </c:pt>
                <c:pt idx="40">
                  <c:v>1559.94</c:v>
                </c:pt>
                <c:pt idx="41">
                  <c:v>1479.91</c:v>
                </c:pt>
                <c:pt idx="42">
                  <c:v>1289.9000000000001</c:v>
                </c:pt>
                <c:pt idx="43">
                  <c:v>1229.8800000000001</c:v>
                </c:pt>
                <c:pt idx="44">
                  <c:v>1149.93</c:v>
                </c:pt>
                <c:pt idx="45">
                  <c:v>739.93000000000006</c:v>
                </c:pt>
                <c:pt idx="46">
                  <c:v>599.96</c:v>
                </c:pt>
                <c:pt idx="47">
                  <c:v>479.91999999999996</c:v>
                </c:pt>
                <c:pt idx="48">
                  <c:v>239.96</c:v>
                </c:pt>
                <c:pt idx="49">
                  <c:v>179.97</c:v>
                </c:pt>
              </c:numCache>
            </c:numRef>
          </c:val>
          <c:smooth val="0"/>
          <c:extLst>
            <c:ext xmlns:c16="http://schemas.microsoft.com/office/drawing/2014/chart" uri="{C3380CC4-5D6E-409C-BE32-E72D297353CC}">
              <c16:uniqueId val="{00000000-8AD0-46F3-9CFD-E921B8631175}"/>
            </c:ext>
          </c:extLst>
        </c:ser>
        <c:dLbls>
          <c:showLegendKey val="0"/>
          <c:showVal val="0"/>
          <c:showCatName val="0"/>
          <c:showSerName val="0"/>
          <c:showPercent val="0"/>
          <c:showBubbleSize val="0"/>
        </c:dLbls>
        <c:smooth val="0"/>
        <c:axId val="1927625871"/>
        <c:axId val="1927623951"/>
      </c:lineChart>
      <c:catAx>
        <c:axId val="19276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23951"/>
        <c:crosses val="autoZero"/>
        <c:auto val="1"/>
        <c:lblAlgn val="ctr"/>
        <c:lblOffset val="100"/>
        <c:noMultiLvlLbl val="0"/>
      </c:catAx>
      <c:valAx>
        <c:axId val="192762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258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37487</xdr:colOff>
      <xdr:row>0</xdr:row>
      <xdr:rowOff>146124</xdr:rowOff>
    </xdr:from>
    <xdr:to>
      <xdr:col>11</xdr:col>
      <xdr:colOff>1081468</xdr:colOff>
      <xdr:row>3</xdr:row>
      <xdr:rowOff>161364</xdr:rowOff>
    </xdr:to>
    <xdr:sp macro="" textlink="">
      <xdr:nvSpPr>
        <xdr:cNvPr id="2" name="Rectangle: Rounded Corners 1">
          <a:extLst>
            <a:ext uri="{FF2B5EF4-FFF2-40B4-BE49-F238E27FC236}">
              <a16:creationId xmlns:a16="http://schemas.microsoft.com/office/drawing/2014/main" id="{3038DCAE-BBE8-DEEC-BC6E-61440B94EC0B}"/>
            </a:ext>
          </a:extLst>
        </xdr:cNvPr>
        <xdr:cNvSpPr/>
      </xdr:nvSpPr>
      <xdr:spPr>
        <a:xfrm>
          <a:off x="3291675" y="146124"/>
          <a:ext cx="8619158" cy="553122"/>
        </a:xfrm>
        <a:prstGeom prst="roundRect">
          <a:avLst>
            <a:gd name="adj" fmla="val 40396"/>
          </a:avLst>
        </a:prstGeom>
        <a:solidFill>
          <a:schemeClr val="accent3">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2800" b="1" cap="none" spc="0">
              <a:ln w="0"/>
              <a:solidFill>
                <a:schemeClr val="accent3">
                  <a:lumMod val="50000"/>
                </a:schemeClr>
              </a:solidFill>
              <a:effectLst>
                <a:reflection blurRad="6350" stA="53000" endA="300" endPos="35500" dir="5400000" sy="-90000" algn="bl" rotWithShape="0"/>
              </a:effectLst>
            </a:rPr>
            <a:t>Customer Sales Performance Dashboard</a:t>
          </a:r>
        </a:p>
      </xdr:txBody>
    </xdr:sp>
    <xdr:clientData/>
  </xdr:twoCellAnchor>
  <xdr:twoCellAnchor editAs="oneCell">
    <xdr:from>
      <xdr:col>3</xdr:col>
      <xdr:colOff>394163</xdr:colOff>
      <xdr:row>0</xdr:row>
      <xdr:rowOff>142009</xdr:rowOff>
    </xdr:from>
    <xdr:to>
      <xdr:col>4</xdr:col>
      <xdr:colOff>340130</xdr:colOff>
      <xdr:row>3</xdr:row>
      <xdr:rowOff>149629</xdr:rowOff>
    </xdr:to>
    <xdr:pic>
      <xdr:nvPicPr>
        <xdr:cNvPr id="4" name="Graphic 3" descr="Gauge with solid fill">
          <a:extLst>
            <a:ext uri="{FF2B5EF4-FFF2-40B4-BE49-F238E27FC236}">
              <a16:creationId xmlns:a16="http://schemas.microsoft.com/office/drawing/2014/main" id="{033A6A41-06D9-1B83-1422-7B86CE2E43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49981" y="142009"/>
          <a:ext cx="555567" cy="547947"/>
        </a:xfrm>
        <a:prstGeom prst="rect">
          <a:avLst/>
        </a:prstGeom>
      </xdr:spPr>
    </xdr:pic>
    <xdr:clientData/>
  </xdr:twoCellAnchor>
  <xdr:twoCellAnchor editAs="oneCell">
    <xdr:from>
      <xdr:col>10</xdr:col>
      <xdr:colOff>1085504</xdr:colOff>
      <xdr:row>0</xdr:row>
      <xdr:rowOff>124691</xdr:rowOff>
    </xdr:from>
    <xdr:to>
      <xdr:col>11</xdr:col>
      <xdr:colOff>547255</xdr:colOff>
      <xdr:row>3</xdr:row>
      <xdr:rowOff>132311</xdr:rowOff>
    </xdr:to>
    <xdr:pic>
      <xdr:nvPicPr>
        <xdr:cNvPr id="5" name="Graphic 4" descr="Gauge with solid fill">
          <a:extLst>
            <a:ext uri="{FF2B5EF4-FFF2-40B4-BE49-F238E27FC236}">
              <a16:creationId xmlns:a16="http://schemas.microsoft.com/office/drawing/2014/main" id="{12E84491-5148-4C32-BA49-1D238FE41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39104" y="124691"/>
          <a:ext cx="556260" cy="547947"/>
        </a:xfrm>
        <a:prstGeom prst="rect">
          <a:avLst/>
        </a:prstGeom>
      </xdr:spPr>
    </xdr:pic>
    <xdr:clientData/>
  </xdr:twoCellAnchor>
  <xdr:twoCellAnchor>
    <xdr:from>
      <xdr:col>0</xdr:col>
      <xdr:colOff>788894</xdr:colOff>
      <xdr:row>12</xdr:row>
      <xdr:rowOff>160020</xdr:rowOff>
    </xdr:from>
    <xdr:to>
      <xdr:col>7</xdr:col>
      <xdr:colOff>775855</xdr:colOff>
      <xdr:row>28</xdr:row>
      <xdr:rowOff>171993</xdr:rowOff>
    </xdr:to>
    <xdr:graphicFrame macro="">
      <xdr:nvGraphicFramePr>
        <xdr:cNvPr id="6" name="Chart 5">
          <a:extLst>
            <a:ext uri="{FF2B5EF4-FFF2-40B4-BE49-F238E27FC236}">
              <a16:creationId xmlns:a16="http://schemas.microsoft.com/office/drawing/2014/main" id="{C88BF118-EEEB-449E-A0F1-FF3045669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845127</xdr:colOff>
      <xdr:row>12</xdr:row>
      <xdr:rowOff>166255</xdr:rowOff>
    </xdr:from>
    <xdr:to>
      <xdr:col>12</xdr:col>
      <xdr:colOff>41563</xdr:colOff>
      <xdr:row>28</xdr:row>
      <xdr:rowOff>152401</xdr:rowOff>
    </xdr:to>
    <xdr:graphicFrame macro="">
      <xdr:nvGraphicFramePr>
        <xdr:cNvPr id="7" name="Chart 6">
          <a:extLst>
            <a:ext uri="{FF2B5EF4-FFF2-40B4-BE49-F238E27FC236}">
              <a16:creationId xmlns:a16="http://schemas.microsoft.com/office/drawing/2014/main" id="{3CAF4580-D590-4E23-8396-56DCB11CD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711982</xdr:colOff>
      <xdr:row>29</xdr:row>
      <xdr:rowOff>69273</xdr:rowOff>
    </xdr:from>
    <xdr:to>
      <xdr:col>12</xdr:col>
      <xdr:colOff>56336</xdr:colOff>
      <xdr:row>44</xdr:row>
      <xdr:rowOff>175829</xdr:rowOff>
    </xdr:to>
    <xdr:graphicFrame macro="">
      <xdr:nvGraphicFramePr>
        <xdr:cNvPr id="8" name="Chart 7">
          <a:extLst>
            <a:ext uri="{FF2B5EF4-FFF2-40B4-BE49-F238E27FC236}">
              <a16:creationId xmlns:a16="http://schemas.microsoft.com/office/drawing/2014/main" id="{A1318235-ED17-4CF0-9A13-53C59FA0B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761999</xdr:colOff>
      <xdr:row>29</xdr:row>
      <xdr:rowOff>96983</xdr:rowOff>
    </xdr:from>
    <xdr:to>
      <xdr:col>7</xdr:col>
      <xdr:colOff>645459</xdr:colOff>
      <xdr:row>44</xdr:row>
      <xdr:rowOff>136634</xdr:rowOff>
    </xdr:to>
    <xdr:graphicFrame macro="">
      <xdr:nvGraphicFramePr>
        <xdr:cNvPr id="9" name="Chart 8">
          <a:extLst>
            <a:ext uri="{FF2B5EF4-FFF2-40B4-BE49-F238E27FC236}">
              <a16:creationId xmlns:a16="http://schemas.microsoft.com/office/drawing/2014/main" id="{5FF14B58-D09B-4A82-834E-CCD01F63B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213193</xdr:colOff>
      <xdr:row>23</xdr:row>
      <xdr:rowOff>38100</xdr:rowOff>
    </xdr:from>
    <xdr:to>
      <xdr:col>18</xdr:col>
      <xdr:colOff>76200</xdr:colOff>
      <xdr:row>45</xdr:row>
      <xdr:rowOff>0</xdr:rowOff>
    </xdr:to>
    <mc:AlternateContent xmlns:mc="http://schemas.openxmlformats.org/markup-compatibility/2006" xmlns:a14="http://schemas.microsoft.com/office/drawing/2010/main">
      <mc:Choice Requires="a14">
        <xdr:graphicFrame macro="">
          <xdr:nvGraphicFramePr>
            <xdr:cNvPr id="10" name="Customer_Name 1">
              <a:extLst>
                <a:ext uri="{FF2B5EF4-FFF2-40B4-BE49-F238E27FC236}">
                  <a16:creationId xmlns:a16="http://schemas.microsoft.com/office/drawing/2014/main" id="{131C7066-BE5D-46FA-87F5-88AD48BF05F6}"/>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12266648" y="5178136"/>
              <a:ext cx="3520607" cy="392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5</xdr:row>
      <xdr:rowOff>3077</xdr:rowOff>
    </xdr:from>
    <xdr:to>
      <xdr:col>18</xdr:col>
      <xdr:colOff>15240</xdr:colOff>
      <xdr:row>8</xdr:row>
      <xdr:rowOff>726</xdr:rowOff>
    </xdr:to>
    <mc:AlternateContent xmlns:mc="http://schemas.openxmlformats.org/markup-compatibility/2006" xmlns:a14="http://schemas.microsoft.com/office/drawing/2010/main">
      <mc:Choice Requires="a14">
        <xdr:graphicFrame macro="">
          <xdr:nvGraphicFramePr>
            <xdr:cNvPr id="11" name="Product_Name 1">
              <a:extLst>
                <a:ext uri="{FF2B5EF4-FFF2-40B4-BE49-F238E27FC236}">
                  <a16:creationId xmlns:a16="http://schemas.microsoft.com/office/drawing/2014/main" id="{FFE1CB4C-6E6C-44A1-87CC-ED2D584E27A6}"/>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2236335" y="917477"/>
              <a:ext cx="3489960" cy="1159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202614</xdr:colOff>
      <xdr:row>8</xdr:row>
      <xdr:rowOff>160921</xdr:rowOff>
    </xdr:from>
    <xdr:to>
      <xdr:col>18</xdr:col>
      <xdr:colOff>38099</xdr:colOff>
      <xdr:row>10</xdr:row>
      <xdr:rowOff>329838</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22A62879-8AB6-4C62-B0F1-31B7E76016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256069" y="2239103"/>
              <a:ext cx="3493085" cy="709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194025</xdr:colOff>
      <xdr:row>11</xdr:row>
      <xdr:rowOff>140948</xdr:rowOff>
    </xdr:from>
    <xdr:to>
      <xdr:col>18</xdr:col>
      <xdr:colOff>45720</xdr:colOff>
      <xdr:row>15</xdr:row>
      <xdr:rowOff>0</xdr:rowOff>
    </xdr:to>
    <mc:AlternateContent xmlns:mc="http://schemas.openxmlformats.org/markup-compatibility/2006" xmlns:a14="http://schemas.microsoft.com/office/drawing/2010/main">
      <mc:Choice Requires="a14">
        <xdr:graphicFrame macro="">
          <xdr:nvGraphicFramePr>
            <xdr:cNvPr id="13" name="Quantity 1">
              <a:extLst>
                <a:ext uri="{FF2B5EF4-FFF2-40B4-BE49-F238E27FC236}">
                  <a16:creationId xmlns:a16="http://schemas.microsoft.com/office/drawing/2014/main" id="{D0780502-C13F-47A7-8C05-C7257B1E1720}"/>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2247480" y="3119675"/>
              <a:ext cx="3509295" cy="579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209550</xdr:colOff>
      <xdr:row>15</xdr:row>
      <xdr:rowOff>158531</xdr:rowOff>
    </xdr:from>
    <xdr:to>
      <xdr:col>18</xdr:col>
      <xdr:colOff>38100</xdr:colOff>
      <xdr:row>22</xdr:row>
      <xdr:rowOff>76200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BA211C83-7821-46A3-9DA2-DE002A948F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63005" y="3857695"/>
              <a:ext cx="3486150" cy="1178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797859</xdr:colOff>
      <xdr:row>8</xdr:row>
      <xdr:rowOff>0</xdr:rowOff>
    </xdr:from>
    <xdr:to>
      <xdr:col>12</xdr:col>
      <xdr:colOff>22862</xdr:colOff>
      <xdr:row>12</xdr:row>
      <xdr:rowOff>66687</xdr:rowOff>
    </xdr:to>
    <mc:AlternateContent xmlns:mc="http://schemas.openxmlformats.org/markup-compatibility/2006" xmlns:tsle="http://schemas.microsoft.com/office/drawing/2012/timeslicer">
      <mc:Choice Requires="tsle">
        <xdr:graphicFrame macro="">
          <xdr:nvGraphicFramePr>
            <xdr:cNvPr id="15" name="Date 1">
              <a:extLst>
                <a:ext uri="{FF2B5EF4-FFF2-40B4-BE49-F238E27FC236}">
                  <a16:creationId xmlns:a16="http://schemas.microsoft.com/office/drawing/2014/main" id="{A36541BD-C445-442C-91D0-29A279B1B4A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97859" y="2078182"/>
              <a:ext cx="11278458" cy="11473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574352</xdr:colOff>
      <xdr:row>2</xdr:row>
      <xdr:rowOff>25895</xdr:rowOff>
    </xdr:from>
    <xdr:to>
      <xdr:col>24</xdr:col>
      <xdr:colOff>262624</xdr:colOff>
      <xdr:row>17</xdr:row>
      <xdr:rowOff>25895</xdr:rowOff>
    </xdr:to>
    <xdr:graphicFrame macro="">
      <xdr:nvGraphicFramePr>
        <xdr:cNvPr id="2" name="Chart 1">
          <a:extLst>
            <a:ext uri="{FF2B5EF4-FFF2-40B4-BE49-F238E27FC236}">
              <a16:creationId xmlns:a16="http://schemas.microsoft.com/office/drawing/2014/main" id="{165032ED-B0BF-2F55-C307-7A7F6F5F9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515472</xdr:colOff>
      <xdr:row>18</xdr:row>
      <xdr:rowOff>85163</xdr:rowOff>
    </xdr:from>
    <xdr:to>
      <xdr:col>24</xdr:col>
      <xdr:colOff>206190</xdr:colOff>
      <xdr:row>33</xdr:row>
      <xdr:rowOff>150157</xdr:rowOff>
    </xdr:to>
    <xdr:graphicFrame macro="">
      <xdr:nvGraphicFramePr>
        <xdr:cNvPr id="3" name="Chart 2">
          <a:extLst>
            <a:ext uri="{FF2B5EF4-FFF2-40B4-BE49-F238E27FC236}">
              <a16:creationId xmlns:a16="http://schemas.microsoft.com/office/drawing/2014/main" id="{2BE67B62-108F-E23A-577B-0899C9973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426945</xdr:colOff>
      <xdr:row>37</xdr:row>
      <xdr:rowOff>147918</xdr:rowOff>
    </xdr:from>
    <xdr:to>
      <xdr:col>24</xdr:col>
      <xdr:colOff>198345</xdr:colOff>
      <xdr:row>53</xdr:row>
      <xdr:rowOff>11206</xdr:rowOff>
    </xdr:to>
    <xdr:graphicFrame macro="">
      <xdr:nvGraphicFramePr>
        <xdr:cNvPr id="4" name="Chart 3">
          <a:extLst>
            <a:ext uri="{FF2B5EF4-FFF2-40B4-BE49-F238E27FC236}">
              <a16:creationId xmlns:a16="http://schemas.microsoft.com/office/drawing/2014/main" id="{323548EC-7DD7-2BD5-FE0D-00C947E17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927983</xdr:colOff>
      <xdr:row>55</xdr:row>
      <xdr:rowOff>157037</xdr:rowOff>
    </xdr:from>
    <xdr:to>
      <xdr:col>10</xdr:col>
      <xdr:colOff>684239</xdr:colOff>
      <xdr:row>69</xdr:row>
      <xdr:rowOff>26586</xdr:rowOff>
    </xdr:to>
    <mc:AlternateContent xmlns:mc="http://schemas.openxmlformats.org/markup-compatibility/2006" xmlns:a14="http://schemas.microsoft.com/office/drawing/2010/main">
      <mc:Choice Requires="a14">
        <xdr:graphicFrame macro="">
          <xdr:nvGraphicFramePr>
            <xdr:cNvPr id="6" name="Customer_Name">
              <a:extLst>
                <a:ext uri="{FF2B5EF4-FFF2-40B4-BE49-F238E27FC236}">
                  <a16:creationId xmlns:a16="http://schemas.microsoft.com/office/drawing/2014/main" id="{85378CD1-0816-5376-672F-D03A8C0A022D}"/>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9222897" y="10335180"/>
              <a:ext cx="1824541" cy="2460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314740</xdr:colOff>
      <xdr:row>56</xdr:row>
      <xdr:rowOff>14246</xdr:rowOff>
    </xdr:from>
    <xdr:to>
      <xdr:col>1</xdr:col>
      <xdr:colOff>1031777</xdr:colOff>
      <xdr:row>69</xdr:row>
      <xdr:rowOff>69325</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434828ED-0B4F-B152-CCB4-2EB98D8CAA7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314740" y="10377446"/>
              <a:ext cx="1827380" cy="2460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1338138</xdr:colOff>
      <xdr:row>56</xdr:row>
      <xdr:rowOff>37107</xdr:rowOff>
    </xdr:from>
    <xdr:to>
      <xdr:col>4</xdr:col>
      <xdr:colOff>220815</xdr:colOff>
      <xdr:row>69</xdr:row>
      <xdr:rowOff>92186</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A955FF5-BA54-7E7A-3703-CAD453F3E0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48481" y="10400307"/>
              <a:ext cx="1835426" cy="2460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645380</xdr:colOff>
      <xdr:row>56</xdr:row>
      <xdr:rowOff>33462</xdr:rowOff>
    </xdr:from>
    <xdr:to>
      <xdr:col>6</xdr:col>
      <xdr:colOff>490495</xdr:colOff>
      <xdr:row>69</xdr:row>
      <xdr:rowOff>88541</xdr:rowOff>
    </xdr:to>
    <mc:AlternateContent xmlns:mc="http://schemas.openxmlformats.org/markup-compatibility/2006" xmlns:a14="http://schemas.microsoft.com/office/drawing/2010/main">
      <mc:Choice Requires="a14">
        <xdr:graphicFrame macro="">
          <xdr:nvGraphicFramePr>
            <xdr:cNvPr id="9" name="Quantity">
              <a:extLst>
                <a:ext uri="{FF2B5EF4-FFF2-40B4-BE49-F238E27FC236}">
                  <a16:creationId xmlns:a16="http://schemas.microsoft.com/office/drawing/2014/main" id="{0868F482-DAE3-6DD4-88CD-89220983974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4673094" y="10396662"/>
              <a:ext cx="1834480" cy="2460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847146</xdr:colOff>
      <xdr:row>55</xdr:row>
      <xdr:rowOff>182218</xdr:rowOff>
    </xdr:from>
    <xdr:to>
      <xdr:col>8</xdr:col>
      <xdr:colOff>331020</xdr:colOff>
      <xdr:row>69</xdr:row>
      <xdr:rowOff>51767</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D44A478-AC51-E82A-D3E4-C095C9BF85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1375" y="10360361"/>
              <a:ext cx="1829746" cy="2460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344558</xdr:colOff>
      <xdr:row>71</xdr:row>
      <xdr:rowOff>13252</xdr:rowOff>
    </xdr:from>
    <xdr:to>
      <xdr:col>10</xdr:col>
      <xdr:colOff>1268779</xdr:colOff>
      <xdr:row>77</xdr:row>
      <xdr:rowOff>25510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7F9887A2-EDD3-4FEA-11CE-1382944CA8C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44558" y="13152309"/>
              <a:ext cx="11393556" cy="11226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892629</xdr:colOff>
      <xdr:row>24</xdr:row>
      <xdr:rowOff>141514</xdr:rowOff>
    </xdr:from>
    <xdr:to>
      <xdr:col>12</xdr:col>
      <xdr:colOff>76200</xdr:colOff>
      <xdr:row>44</xdr:row>
      <xdr:rowOff>10884</xdr:rowOff>
    </xdr:to>
    <xdr:graphicFrame macro="">
      <xdr:nvGraphicFramePr>
        <xdr:cNvPr id="12" name="Chart 11">
          <a:extLst>
            <a:ext uri="{FF2B5EF4-FFF2-40B4-BE49-F238E27FC236}">
              <a16:creationId xmlns:a16="http://schemas.microsoft.com/office/drawing/2014/main" id="{187D8590-DF3E-9A5A-315D-B790035DF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Isamaliya" refreshedDate="45982.905754629632" createdVersion="8" refreshedVersion="8" minRefreshableVersion="3" recordCount="250" xr:uid="{2C90250E-6696-4934-A539-E6077981B33F}">
  <cacheSource type="worksheet">
    <worksheetSource name="cust"/>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6"/>
    </cacheField>
    <cacheField name="Total_Amount" numFmtId="0">
      <sharedItems containsSemiMixedTypes="0" containsString="0" containsNumber="1" minValue="59.99" maxValue="4499.95"/>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2051481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x v="0"/>
    <s v="P009"/>
    <x v="0"/>
    <x v="0"/>
    <x v="0"/>
    <n v="249.99"/>
    <s v="Cash"/>
    <x v="0"/>
    <x v="0"/>
    <x v="0"/>
    <n v="749.97"/>
  </r>
  <r>
    <s v="TRX0023"/>
    <x v="1"/>
    <x v="1"/>
    <x v="1"/>
    <s v="P009"/>
    <x v="0"/>
    <x v="0"/>
    <x v="0"/>
    <n v="249.99"/>
    <s v="Credit Card"/>
    <x v="0"/>
    <x v="1"/>
    <x v="1"/>
    <n v="749.97"/>
  </r>
  <r>
    <s v="TRX0139"/>
    <x v="2"/>
    <x v="2"/>
    <x v="2"/>
    <s v="P005"/>
    <x v="1"/>
    <x v="1"/>
    <x v="0"/>
    <n v="59.99"/>
    <s v="PayPal"/>
    <x v="1"/>
    <x v="2"/>
    <x v="2"/>
    <n v="179.97"/>
  </r>
  <r>
    <s v="TRX0043"/>
    <x v="3"/>
    <x v="3"/>
    <x v="3"/>
    <s v="P005"/>
    <x v="1"/>
    <x v="1"/>
    <x v="0"/>
    <n v="59.99"/>
    <s v="Cash"/>
    <x v="2"/>
    <x v="1"/>
    <x v="3"/>
    <n v="179.97"/>
  </r>
  <r>
    <s v="TRX0212"/>
    <x v="3"/>
    <x v="4"/>
    <x v="4"/>
    <s v="P008"/>
    <x v="2"/>
    <x v="2"/>
    <x v="1"/>
    <n v="149.99"/>
    <s v="Credit Card"/>
    <x v="2"/>
    <x v="1"/>
    <x v="4"/>
    <n v="749.95"/>
  </r>
  <r>
    <s v="TRX0092"/>
    <x v="4"/>
    <x v="5"/>
    <x v="5"/>
    <s v="P005"/>
    <x v="1"/>
    <x v="1"/>
    <x v="2"/>
    <n v="59.99"/>
    <s v="Cash"/>
    <x v="3"/>
    <x v="2"/>
    <x v="5"/>
    <n v="119.98"/>
  </r>
  <r>
    <s v="TRX0193"/>
    <x v="4"/>
    <x v="5"/>
    <x v="5"/>
    <s v="P003"/>
    <x v="3"/>
    <x v="0"/>
    <x v="1"/>
    <n v="149.99"/>
    <s v="Credit Card"/>
    <x v="0"/>
    <x v="2"/>
    <x v="6"/>
    <n v="749.95"/>
  </r>
  <r>
    <s v="TRX0240"/>
    <x v="4"/>
    <x v="6"/>
    <x v="6"/>
    <s v="P005"/>
    <x v="1"/>
    <x v="1"/>
    <x v="0"/>
    <n v="59.99"/>
    <s v="Debit Card"/>
    <x v="1"/>
    <x v="0"/>
    <x v="7"/>
    <n v="179.97"/>
  </r>
  <r>
    <s v="TRX0135"/>
    <x v="5"/>
    <x v="7"/>
    <x v="7"/>
    <s v="P001"/>
    <x v="4"/>
    <x v="0"/>
    <x v="0"/>
    <n v="899.99"/>
    <s v="PayPal"/>
    <x v="4"/>
    <x v="2"/>
    <x v="8"/>
    <n v="2699.97"/>
  </r>
  <r>
    <s v="TRX0185"/>
    <x v="6"/>
    <x v="8"/>
    <x v="8"/>
    <s v="P005"/>
    <x v="1"/>
    <x v="1"/>
    <x v="0"/>
    <n v="59.99"/>
    <s v="Cash"/>
    <x v="3"/>
    <x v="1"/>
    <x v="9"/>
    <n v="179.97"/>
  </r>
  <r>
    <s v="TRX0138"/>
    <x v="6"/>
    <x v="9"/>
    <x v="9"/>
    <s v="P008"/>
    <x v="2"/>
    <x v="2"/>
    <x v="3"/>
    <n v="149.99"/>
    <s v="Credit Card"/>
    <x v="3"/>
    <x v="2"/>
    <x v="10"/>
    <n v="149.99"/>
  </r>
  <r>
    <s v="TRX0209"/>
    <x v="6"/>
    <x v="3"/>
    <x v="3"/>
    <s v="P008"/>
    <x v="2"/>
    <x v="2"/>
    <x v="1"/>
    <n v="149.99"/>
    <s v="Debit Card"/>
    <x v="2"/>
    <x v="0"/>
    <x v="11"/>
    <n v="749.95"/>
  </r>
  <r>
    <s v="TRX0246"/>
    <x v="6"/>
    <x v="10"/>
    <x v="10"/>
    <s v="P008"/>
    <x v="2"/>
    <x v="2"/>
    <x v="0"/>
    <n v="149.99"/>
    <s v="Cash"/>
    <x v="2"/>
    <x v="1"/>
    <x v="12"/>
    <n v="449.97"/>
  </r>
  <r>
    <s v="TRX0067"/>
    <x v="7"/>
    <x v="11"/>
    <x v="11"/>
    <s v="P005"/>
    <x v="1"/>
    <x v="1"/>
    <x v="0"/>
    <n v="59.99"/>
    <s v="Credit Card"/>
    <x v="2"/>
    <x v="2"/>
    <x v="13"/>
    <n v="179.97"/>
  </r>
  <r>
    <s v="TRX0191"/>
    <x v="7"/>
    <x v="12"/>
    <x v="12"/>
    <s v="P002"/>
    <x v="5"/>
    <x v="0"/>
    <x v="0"/>
    <n v="699.99"/>
    <s v="Credit Card"/>
    <x v="3"/>
    <x v="0"/>
    <x v="14"/>
    <n v="2099.9699999999998"/>
  </r>
  <r>
    <s v="TRX0230"/>
    <x v="7"/>
    <x v="13"/>
    <x v="13"/>
    <s v="P001"/>
    <x v="4"/>
    <x v="0"/>
    <x v="3"/>
    <n v="899.99"/>
    <s v="Debit Card"/>
    <x v="2"/>
    <x v="2"/>
    <x v="15"/>
    <n v="899.99"/>
  </r>
  <r>
    <s v="TRX0049"/>
    <x v="8"/>
    <x v="14"/>
    <x v="14"/>
    <s v="P008"/>
    <x v="2"/>
    <x v="2"/>
    <x v="4"/>
    <n v="149.99"/>
    <s v="Debit Card"/>
    <x v="2"/>
    <x v="1"/>
    <x v="16"/>
    <n v="599.96"/>
  </r>
  <r>
    <s v="TRX0134"/>
    <x v="8"/>
    <x v="15"/>
    <x v="15"/>
    <s v="P002"/>
    <x v="5"/>
    <x v="0"/>
    <x v="2"/>
    <n v="699.99"/>
    <s v="Cash"/>
    <x v="2"/>
    <x v="0"/>
    <x v="17"/>
    <n v="1399.98"/>
  </r>
  <r>
    <s v="TRX0122"/>
    <x v="8"/>
    <x v="14"/>
    <x v="14"/>
    <s v="P001"/>
    <x v="4"/>
    <x v="0"/>
    <x v="4"/>
    <n v="899.99"/>
    <s v="Credit Card"/>
    <x v="3"/>
    <x v="2"/>
    <x v="18"/>
    <n v="3599.96"/>
  </r>
  <r>
    <s v="TRX0222"/>
    <x v="8"/>
    <x v="16"/>
    <x v="16"/>
    <s v="P009"/>
    <x v="0"/>
    <x v="0"/>
    <x v="0"/>
    <n v="249.99"/>
    <s v="Credit Card"/>
    <x v="2"/>
    <x v="1"/>
    <x v="19"/>
    <n v="749.97"/>
  </r>
  <r>
    <s v="TRX0231"/>
    <x v="9"/>
    <x v="17"/>
    <x v="17"/>
    <s v="P002"/>
    <x v="5"/>
    <x v="0"/>
    <x v="1"/>
    <n v="699.99"/>
    <s v="Cash"/>
    <x v="3"/>
    <x v="0"/>
    <x v="20"/>
    <n v="3499.95"/>
  </r>
  <r>
    <s v="TRX0239"/>
    <x v="10"/>
    <x v="18"/>
    <x v="18"/>
    <s v="P002"/>
    <x v="5"/>
    <x v="0"/>
    <x v="4"/>
    <n v="699.99"/>
    <s v="Cash"/>
    <x v="4"/>
    <x v="2"/>
    <x v="21"/>
    <n v="2799.96"/>
  </r>
  <r>
    <s v="TRX0204"/>
    <x v="11"/>
    <x v="19"/>
    <x v="19"/>
    <s v="P009"/>
    <x v="0"/>
    <x v="0"/>
    <x v="4"/>
    <n v="249.99"/>
    <s v="PayPal"/>
    <x v="2"/>
    <x v="2"/>
    <x v="22"/>
    <n v="999.96"/>
  </r>
  <r>
    <s v="TRX0242"/>
    <x v="12"/>
    <x v="14"/>
    <x v="14"/>
    <s v="P007"/>
    <x v="6"/>
    <x v="2"/>
    <x v="4"/>
    <n v="299.99"/>
    <s v="Cash"/>
    <x v="3"/>
    <x v="1"/>
    <x v="23"/>
    <n v="1199.96"/>
  </r>
  <r>
    <s v="TRX0071"/>
    <x v="13"/>
    <x v="20"/>
    <x v="20"/>
    <s v="P009"/>
    <x v="0"/>
    <x v="0"/>
    <x v="1"/>
    <n v="249.99"/>
    <s v="Credit Card"/>
    <x v="3"/>
    <x v="2"/>
    <x v="24"/>
    <n v="1249.95"/>
  </r>
  <r>
    <s v="TRX0040"/>
    <x v="14"/>
    <x v="9"/>
    <x v="9"/>
    <s v="P007"/>
    <x v="6"/>
    <x v="2"/>
    <x v="1"/>
    <n v="299.99"/>
    <s v="PayPal"/>
    <x v="4"/>
    <x v="0"/>
    <x v="25"/>
    <n v="1499.95"/>
  </r>
  <r>
    <s v="TRX0235"/>
    <x v="14"/>
    <x v="21"/>
    <x v="21"/>
    <s v="P004"/>
    <x v="7"/>
    <x v="1"/>
    <x v="0"/>
    <n v="79.989999999999995"/>
    <s v="PayPal"/>
    <x v="4"/>
    <x v="1"/>
    <x v="26"/>
    <n v="239.97"/>
  </r>
  <r>
    <s v="TRX0004"/>
    <x v="14"/>
    <x v="18"/>
    <x v="18"/>
    <s v="P010"/>
    <x v="8"/>
    <x v="0"/>
    <x v="1"/>
    <n v="89.99"/>
    <s v="Cash"/>
    <x v="2"/>
    <x v="1"/>
    <x v="27"/>
    <n v="449.95"/>
  </r>
  <r>
    <s v="TRX0063"/>
    <x v="15"/>
    <x v="22"/>
    <x v="22"/>
    <s v="P005"/>
    <x v="1"/>
    <x v="1"/>
    <x v="2"/>
    <n v="59.99"/>
    <s v="Debit Card"/>
    <x v="0"/>
    <x v="2"/>
    <x v="28"/>
    <n v="119.98"/>
  </r>
  <r>
    <s v="TRX0241"/>
    <x v="16"/>
    <x v="23"/>
    <x v="23"/>
    <s v="P005"/>
    <x v="1"/>
    <x v="1"/>
    <x v="4"/>
    <n v="59.99"/>
    <s v="Debit Card"/>
    <x v="4"/>
    <x v="2"/>
    <x v="29"/>
    <n v="239.96"/>
  </r>
  <r>
    <s v="TRX0029"/>
    <x v="16"/>
    <x v="6"/>
    <x v="6"/>
    <s v="P006"/>
    <x v="9"/>
    <x v="2"/>
    <x v="1"/>
    <n v="199.99"/>
    <s v="Cash"/>
    <x v="1"/>
    <x v="2"/>
    <x v="30"/>
    <n v="999.95"/>
  </r>
  <r>
    <s v="TRX0194"/>
    <x v="17"/>
    <x v="24"/>
    <x v="24"/>
    <s v="P008"/>
    <x v="2"/>
    <x v="2"/>
    <x v="2"/>
    <n v="149.99"/>
    <s v="Credit Card"/>
    <x v="3"/>
    <x v="0"/>
    <x v="31"/>
    <n v="299.98"/>
  </r>
  <r>
    <s v="TRX0130"/>
    <x v="18"/>
    <x v="25"/>
    <x v="25"/>
    <s v="P008"/>
    <x v="2"/>
    <x v="2"/>
    <x v="0"/>
    <n v="149.99"/>
    <s v="Credit Card"/>
    <x v="3"/>
    <x v="1"/>
    <x v="32"/>
    <n v="449.97"/>
  </r>
  <r>
    <s v="TRX0041"/>
    <x v="19"/>
    <x v="2"/>
    <x v="2"/>
    <s v="P001"/>
    <x v="4"/>
    <x v="0"/>
    <x v="3"/>
    <n v="899.99"/>
    <s v="Credit Card"/>
    <x v="3"/>
    <x v="1"/>
    <x v="33"/>
    <n v="899.99"/>
  </r>
  <r>
    <s v="TRX0232"/>
    <x v="20"/>
    <x v="18"/>
    <x v="18"/>
    <s v="P007"/>
    <x v="6"/>
    <x v="2"/>
    <x v="0"/>
    <n v="299.99"/>
    <s v="Credit Card"/>
    <x v="4"/>
    <x v="0"/>
    <x v="34"/>
    <n v="899.97"/>
  </r>
  <r>
    <s v="TRX0021"/>
    <x v="21"/>
    <x v="24"/>
    <x v="24"/>
    <s v="P004"/>
    <x v="7"/>
    <x v="1"/>
    <x v="0"/>
    <n v="79.989999999999995"/>
    <s v="Cash"/>
    <x v="1"/>
    <x v="0"/>
    <x v="35"/>
    <n v="239.97"/>
  </r>
  <r>
    <s v="TRX0245"/>
    <x v="22"/>
    <x v="26"/>
    <x v="26"/>
    <s v="P006"/>
    <x v="9"/>
    <x v="2"/>
    <x v="0"/>
    <n v="199.99"/>
    <s v="Credit Card"/>
    <x v="2"/>
    <x v="1"/>
    <x v="36"/>
    <n v="599.97"/>
  </r>
  <r>
    <s v="TRX0015"/>
    <x v="23"/>
    <x v="27"/>
    <x v="27"/>
    <s v="P002"/>
    <x v="5"/>
    <x v="0"/>
    <x v="1"/>
    <n v="699.99"/>
    <s v="PayPal"/>
    <x v="3"/>
    <x v="2"/>
    <x v="37"/>
    <n v="3499.95"/>
  </r>
  <r>
    <s v="TRX0202"/>
    <x v="24"/>
    <x v="28"/>
    <x v="28"/>
    <s v="P010"/>
    <x v="8"/>
    <x v="0"/>
    <x v="0"/>
    <n v="89.99"/>
    <s v="PayPal"/>
    <x v="0"/>
    <x v="1"/>
    <x v="38"/>
    <n v="269.97000000000003"/>
  </r>
  <r>
    <s v="TRX0042"/>
    <x v="25"/>
    <x v="29"/>
    <x v="29"/>
    <s v="P004"/>
    <x v="7"/>
    <x v="1"/>
    <x v="3"/>
    <n v="79.989999999999995"/>
    <s v="Cash"/>
    <x v="2"/>
    <x v="2"/>
    <x v="39"/>
    <n v="79.989999999999995"/>
  </r>
  <r>
    <s v="TRX0128"/>
    <x v="26"/>
    <x v="30"/>
    <x v="30"/>
    <s v="P005"/>
    <x v="1"/>
    <x v="1"/>
    <x v="2"/>
    <n v="59.99"/>
    <s v="Cash"/>
    <x v="3"/>
    <x v="0"/>
    <x v="40"/>
    <n v="119.98"/>
  </r>
  <r>
    <s v="TRX0117"/>
    <x v="26"/>
    <x v="6"/>
    <x v="6"/>
    <s v="P010"/>
    <x v="8"/>
    <x v="0"/>
    <x v="3"/>
    <n v="89.99"/>
    <s v="Cash"/>
    <x v="2"/>
    <x v="0"/>
    <x v="41"/>
    <n v="89.99"/>
  </r>
  <r>
    <s v="TRX0208"/>
    <x v="27"/>
    <x v="31"/>
    <x v="31"/>
    <s v="P010"/>
    <x v="8"/>
    <x v="0"/>
    <x v="1"/>
    <n v="89.99"/>
    <s v="Credit Card"/>
    <x v="4"/>
    <x v="2"/>
    <x v="42"/>
    <n v="449.95"/>
  </r>
  <r>
    <s v="TRX0234"/>
    <x v="28"/>
    <x v="1"/>
    <x v="1"/>
    <s v="P009"/>
    <x v="0"/>
    <x v="0"/>
    <x v="1"/>
    <n v="249.99"/>
    <s v="Credit Card"/>
    <x v="4"/>
    <x v="2"/>
    <x v="43"/>
    <n v="1249.95"/>
  </r>
  <r>
    <s v="TRX0121"/>
    <x v="28"/>
    <x v="32"/>
    <x v="32"/>
    <s v="P010"/>
    <x v="8"/>
    <x v="0"/>
    <x v="3"/>
    <n v="89.99"/>
    <s v="Credit Card"/>
    <x v="1"/>
    <x v="2"/>
    <x v="44"/>
    <n v="89.99"/>
  </r>
  <r>
    <s v="TRX0220"/>
    <x v="29"/>
    <x v="4"/>
    <x v="4"/>
    <s v="P008"/>
    <x v="2"/>
    <x v="2"/>
    <x v="2"/>
    <n v="149.99"/>
    <s v="Cash"/>
    <x v="4"/>
    <x v="1"/>
    <x v="45"/>
    <n v="299.98"/>
  </r>
  <r>
    <s v="TRX0093"/>
    <x v="30"/>
    <x v="33"/>
    <x v="33"/>
    <s v="P005"/>
    <x v="1"/>
    <x v="1"/>
    <x v="4"/>
    <n v="59.99"/>
    <s v="Cash"/>
    <x v="4"/>
    <x v="2"/>
    <x v="46"/>
    <n v="239.96"/>
  </r>
  <r>
    <s v="TRX0088"/>
    <x v="31"/>
    <x v="24"/>
    <x v="24"/>
    <s v="P010"/>
    <x v="8"/>
    <x v="0"/>
    <x v="1"/>
    <n v="89.99"/>
    <s v="Cash"/>
    <x v="0"/>
    <x v="1"/>
    <x v="47"/>
    <n v="449.95"/>
  </r>
  <r>
    <s v="TRX0115"/>
    <x v="32"/>
    <x v="18"/>
    <x v="18"/>
    <s v="P010"/>
    <x v="8"/>
    <x v="0"/>
    <x v="2"/>
    <n v="89.99"/>
    <s v="Credit Card"/>
    <x v="1"/>
    <x v="1"/>
    <x v="48"/>
    <n v="179.98"/>
  </r>
  <r>
    <s v="TRX0154"/>
    <x v="32"/>
    <x v="0"/>
    <x v="0"/>
    <s v="P001"/>
    <x v="4"/>
    <x v="0"/>
    <x v="1"/>
    <n v="899.99"/>
    <s v="Credit Card"/>
    <x v="1"/>
    <x v="2"/>
    <x v="49"/>
    <n v="4499.95"/>
  </r>
  <r>
    <s v="TRX0044"/>
    <x v="32"/>
    <x v="23"/>
    <x v="23"/>
    <s v="P001"/>
    <x v="4"/>
    <x v="0"/>
    <x v="1"/>
    <n v="899.99"/>
    <s v="PayPal"/>
    <x v="4"/>
    <x v="1"/>
    <x v="50"/>
    <n v="4499.95"/>
  </r>
  <r>
    <s v="TRX0061"/>
    <x v="33"/>
    <x v="32"/>
    <x v="32"/>
    <s v="P005"/>
    <x v="1"/>
    <x v="1"/>
    <x v="3"/>
    <n v="59.99"/>
    <s v="Debit Card"/>
    <x v="3"/>
    <x v="1"/>
    <x v="51"/>
    <n v="59.99"/>
  </r>
  <r>
    <s v="TRX0150"/>
    <x v="33"/>
    <x v="27"/>
    <x v="27"/>
    <s v="P007"/>
    <x v="6"/>
    <x v="2"/>
    <x v="2"/>
    <n v="299.99"/>
    <s v="Debit Card"/>
    <x v="4"/>
    <x v="2"/>
    <x v="52"/>
    <n v="599.98"/>
  </r>
  <r>
    <s v="TRX0025"/>
    <x v="34"/>
    <x v="34"/>
    <x v="34"/>
    <s v="P010"/>
    <x v="8"/>
    <x v="0"/>
    <x v="4"/>
    <n v="89.99"/>
    <s v="Debit Card"/>
    <x v="1"/>
    <x v="0"/>
    <x v="53"/>
    <n v="359.96"/>
  </r>
  <r>
    <s v="TRX0078"/>
    <x v="35"/>
    <x v="2"/>
    <x v="2"/>
    <s v="P004"/>
    <x v="7"/>
    <x v="1"/>
    <x v="3"/>
    <n v="79.989999999999995"/>
    <s v="PayPal"/>
    <x v="0"/>
    <x v="1"/>
    <x v="54"/>
    <n v="79.989999999999995"/>
  </r>
  <r>
    <s v="TRX0007"/>
    <x v="35"/>
    <x v="7"/>
    <x v="7"/>
    <s v="P010"/>
    <x v="8"/>
    <x v="0"/>
    <x v="2"/>
    <n v="89.99"/>
    <s v="Cash"/>
    <x v="3"/>
    <x v="0"/>
    <x v="55"/>
    <n v="179.98"/>
  </r>
  <r>
    <s v="TRX0184"/>
    <x v="36"/>
    <x v="3"/>
    <x v="3"/>
    <s v="P002"/>
    <x v="5"/>
    <x v="0"/>
    <x v="0"/>
    <n v="699.99"/>
    <s v="Credit Card"/>
    <x v="4"/>
    <x v="1"/>
    <x v="56"/>
    <n v="2099.9699999999998"/>
  </r>
  <r>
    <s v="TRX0104"/>
    <x v="36"/>
    <x v="18"/>
    <x v="18"/>
    <s v="P001"/>
    <x v="4"/>
    <x v="0"/>
    <x v="4"/>
    <n v="899.99"/>
    <s v="Credit Card"/>
    <x v="4"/>
    <x v="1"/>
    <x v="57"/>
    <n v="3599.96"/>
  </r>
  <r>
    <s v="TRX0127"/>
    <x v="37"/>
    <x v="22"/>
    <x v="22"/>
    <s v="P008"/>
    <x v="2"/>
    <x v="2"/>
    <x v="3"/>
    <n v="149.99"/>
    <s v="PayPal"/>
    <x v="4"/>
    <x v="0"/>
    <x v="58"/>
    <n v="149.99"/>
  </r>
  <r>
    <s v="TRX0096"/>
    <x v="38"/>
    <x v="25"/>
    <x v="25"/>
    <s v="P010"/>
    <x v="8"/>
    <x v="0"/>
    <x v="2"/>
    <n v="89.99"/>
    <s v="PayPal"/>
    <x v="0"/>
    <x v="1"/>
    <x v="59"/>
    <n v="179.98"/>
  </r>
  <r>
    <s v="TRX0192"/>
    <x v="39"/>
    <x v="6"/>
    <x v="6"/>
    <s v="P010"/>
    <x v="8"/>
    <x v="0"/>
    <x v="3"/>
    <n v="89.99"/>
    <s v="PayPal"/>
    <x v="3"/>
    <x v="2"/>
    <x v="60"/>
    <n v="89.99"/>
  </r>
  <r>
    <s v="TRX0052"/>
    <x v="40"/>
    <x v="9"/>
    <x v="9"/>
    <s v="P010"/>
    <x v="8"/>
    <x v="0"/>
    <x v="3"/>
    <n v="89.99"/>
    <s v="Cash"/>
    <x v="1"/>
    <x v="2"/>
    <x v="61"/>
    <n v="89.99"/>
  </r>
  <r>
    <s v="TRX0070"/>
    <x v="40"/>
    <x v="35"/>
    <x v="35"/>
    <s v="P004"/>
    <x v="7"/>
    <x v="1"/>
    <x v="1"/>
    <n v="79.989999999999995"/>
    <s v="Debit Card"/>
    <x v="0"/>
    <x v="0"/>
    <x v="62"/>
    <n v="399.95"/>
  </r>
  <r>
    <s v="TRX0086"/>
    <x v="41"/>
    <x v="36"/>
    <x v="36"/>
    <s v="P008"/>
    <x v="2"/>
    <x v="2"/>
    <x v="3"/>
    <n v="149.99"/>
    <s v="PayPal"/>
    <x v="2"/>
    <x v="0"/>
    <x v="63"/>
    <n v="149.99"/>
  </r>
  <r>
    <s v="TRX0113"/>
    <x v="41"/>
    <x v="4"/>
    <x v="4"/>
    <s v="P002"/>
    <x v="5"/>
    <x v="0"/>
    <x v="2"/>
    <n v="699.99"/>
    <s v="PayPal"/>
    <x v="4"/>
    <x v="1"/>
    <x v="64"/>
    <n v="1399.98"/>
  </r>
  <r>
    <s v="TRX0114"/>
    <x v="41"/>
    <x v="17"/>
    <x v="17"/>
    <s v="P010"/>
    <x v="8"/>
    <x v="0"/>
    <x v="1"/>
    <n v="89.99"/>
    <s v="Debit Card"/>
    <x v="2"/>
    <x v="1"/>
    <x v="65"/>
    <n v="449.95"/>
  </r>
  <r>
    <s v="TRX0136"/>
    <x v="42"/>
    <x v="34"/>
    <x v="34"/>
    <s v="P005"/>
    <x v="1"/>
    <x v="1"/>
    <x v="4"/>
    <n v="59.99"/>
    <s v="Cash"/>
    <x v="1"/>
    <x v="2"/>
    <x v="66"/>
    <n v="239.96"/>
  </r>
  <r>
    <s v="TRX0018"/>
    <x v="43"/>
    <x v="1"/>
    <x v="1"/>
    <s v="P003"/>
    <x v="3"/>
    <x v="0"/>
    <x v="3"/>
    <n v="149.99"/>
    <s v="Cash"/>
    <x v="0"/>
    <x v="2"/>
    <x v="67"/>
    <n v="149.99"/>
  </r>
  <r>
    <s v="TRX0141"/>
    <x v="43"/>
    <x v="37"/>
    <x v="37"/>
    <s v="P007"/>
    <x v="6"/>
    <x v="2"/>
    <x v="3"/>
    <n v="299.99"/>
    <s v="Credit Card"/>
    <x v="2"/>
    <x v="1"/>
    <x v="68"/>
    <n v="299.99"/>
  </r>
  <r>
    <s v="TRX0097"/>
    <x v="44"/>
    <x v="37"/>
    <x v="37"/>
    <s v="P006"/>
    <x v="9"/>
    <x v="2"/>
    <x v="2"/>
    <n v="199.99"/>
    <s v="Cash"/>
    <x v="2"/>
    <x v="0"/>
    <x v="69"/>
    <n v="399.98"/>
  </r>
  <r>
    <s v="TRX0169"/>
    <x v="45"/>
    <x v="38"/>
    <x v="38"/>
    <s v="P005"/>
    <x v="1"/>
    <x v="1"/>
    <x v="0"/>
    <n v="59.99"/>
    <s v="Credit Card"/>
    <x v="3"/>
    <x v="0"/>
    <x v="70"/>
    <n v="179.97"/>
  </r>
  <r>
    <s v="TRX0216"/>
    <x v="45"/>
    <x v="10"/>
    <x v="10"/>
    <s v="P008"/>
    <x v="2"/>
    <x v="2"/>
    <x v="0"/>
    <n v="149.99"/>
    <s v="Cash"/>
    <x v="0"/>
    <x v="1"/>
    <x v="71"/>
    <n v="449.97"/>
  </r>
  <r>
    <s v="TRX0131"/>
    <x v="46"/>
    <x v="8"/>
    <x v="8"/>
    <s v="P006"/>
    <x v="9"/>
    <x v="2"/>
    <x v="0"/>
    <n v="199.99"/>
    <s v="Cash"/>
    <x v="2"/>
    <x v="1"/>
    <x v="72"/>
    <n v="599.97"/>
  </r>
  <r>
    <s v="TRX0162"/>
    <x v="47"/>
    <x v="30"/>
    <x v="30"/>
    <s v="P001"/>
    <x v="4"/>
    <x v="0"/>
    <x v="3"/>
    <n v="899.99"/>
    <s v="Cash"/>
    <x v="0"/>
    <x v="2"/>
    <x v="73"/>
    <n v="899.99"/>
  </r>
  <r>
    <s v="TRX0244"/>
    <x v="48"/>
    <x v="1"/>
    <x v="1"/>
    <s v="P001"/>
    <x v="4"/>
    <x v="0"/>
    <x v="1"/>
    <n v="899.99"/>
    <s v="Debit Card"/>
    <x v="1"/>
    <x v="2"/>
    <x v="74"/>
    <n v="4499.95"/>
  </r>
  <r>
    <s v="TRX0006"/>
    <x v="49"/>
    <x v="35"/>
    <x v="35"/>
    <s v="P005"/>
    <x v="1"/>
    <x v="1"/>
    <x v="2"/>
    <n v="59.99"/>
    <s v="Cash"/>
    <x v="2"/>
    <x v="2"/>
    <x v="75"/>
    <n v="119.98"/>
  </r>
  <r>
    <s v="TRX0215"/>
    <x v="49"/>
    <x v="38"/>
    <x v="38"/>
    <s v="P009"/>
    <x v="0"/>
    <x v="0"/>
    <x v="4"/>
    <n v="249.99"/>
    <s v="Debit Card"/>
    <x v="0"/>
    <x v="2"/>
    <x v="76"/>
    <n v="999.96"/>
  </r>
  <r>
    <s v="TRX0080"/>
    <x v="50"/>
    <x v="17"/>
    <x v="17"/>
    <s v="P009"/>
    <x v="0"/>
    <x v="0"/>
    <x v="2"/>
    <n v="249.99"/>
    <s v="Cash"/>
    <x v="2"/>
    <x v="1"/>
    <x v="77"/>
    <n v="499.98"/>
  </r>
  <r>
    <s v="TRX0228"/>
    <x v="50"/>
    <x v="29"/>
    <x v="29"/>
    <s v="P007"/>
    <x v="6"/>
    <x v="2"/>
    <x v="3"/>
    <n v="299.99"/>
    <s v="Cash"/>
    <x v="1"/>
    <x v="0"/>
    <x v="78"/>
    <n v="299.99"/>
  </r>
  <r>
    <s v="TRX0157"/>
    <x v="51"/>
    <x v="14"/>
    <x v="14"/>
    <s v="P010"/>
    <x v="8"/>
    <x v="0"/>
    <x v="2"/>
    <n v="89.99"/>
    <s v="PayPal"/>
    <x v="1"/>
    <x v="0"/>
    <x v="79"/>
    <n v="179.98"/>
  </r>
  <r>
    <s v="TRX0002"/>
    <x v="51"/>
    <x v="29"/>
    <x v="29"/>
    <s v="P007"/>
    <x v="6"/>
    <x v="2"/>
    <x v="0"/>
    <n v="299.99"/>
    <s v="Cash"/>
    <x v="0"/>
    <x v="0"/>
    <x v="80"/>
    <n v="899.97"/>
  </r>
  <r>
    <s v="TRX0217"/>
    <x v="52"/>
    <x v="14"/>
    <x v="14"/>
    <s v="P002"/>
    <x v="5"/>
    <x v="0"/>
    <x v="2"/>
    <n v="699.99"/>
    <s v="Credit Card"/>
    <x v="2"/>
    <x v="1"/>
    <x v="81"/>
    <n v="1399.98"/>
  </r>
  <r>
    <s v="TRX0249"/>
    <x v="53"/>
    <x v="22"/>
    <x v="22"/>
    <s v="P001"/>
    <x v="4"/>
    <x v="0"/>
    <x v="4"/>
    <n v="899.99"/>
    <s v="Debit Card"/>
    <x v="1"/>
    <x v="2"/>
    <x v="82"/>
    <n v="3599.96"/>
  </r>
  <r>
    <s v="TRX0065"/>
    <x v="54"/>
    <x v="39"/>
    <x v="39"/>
    <s v="P008"/>
    <x v="2"/>
    <x v="2"/>
    <x v="2"/>
    <n v="149.99"/>
    <s v="Credit Card"/>
    <x v="3"/>
    <x v="0"/>
    <x v="83"/>
    <n v="299.98"/>
  </r>
  <r>
    <s v="TRX0176"/>
    <x v="55"/>
    <x v="19"/>
    <x v="19"/>
    <s v="P008"/>
    <x v="2"/>
    <x v="2"/>
    <x v="2"/>
    <n v="149.99"/>
    <s v="Debit Card"/>
    <x v="4"/>
    <x v="2"/>
    <x v="84"/>
    <n v="299.98"/>
  </r>
  <r>
    <s v="TRX0101"/>
    <x v="56"/>
    <x v="15"/>
    <x v="15"/>
    <s v="P010"/>
    <x v="8"/>
    <x v="0"/>
    <x v="3"/>
    <n v="89.99"/>
    <s v="Credit Card"/>
    <x v="2"/>
    <x v="2"/>
    <x v="85"/>
    <n v="89.99"/>
  </r>
  <r>
    <s v="TRX0205"/>
    <x v="57"/>
    <x v="14"/>
    <x v="14"/>
    <s v="P007"/>
    <x v="6"/>
    <x v="2"/>
    <x v="1"/>
    <n v="299.99"/>
    <s v="Credit Card"/>
    <x v="2"/>
    <x v="0"/>
    <x v="86"/>
    <n v="1499.95"/>
  </r>
  <r>
    <s v="TRX0020"/>
    <x v="58"/>
    <x v="35"/>
    <x v="35"/>
    <s v="P003"/>
    <x v="3"/>
    <x v="0"/>
    <x v="4"/>
    <n v="149.99"/>
    <s v="Debit Card"/>
    <x v="1"/>
    <x v="1"/>
    <x v="87"/>
    <n v="599.96"/>
  </r>
  <r>
    <s v="TRX0075"/>
    <x v="58"/>
    <x v="36"/>
    <x v="36"/>
    <s v="P009"/>
    <x v="0"/>
    <x v="0"/>
    <x v="1"/>
    <n v="249.99"/>
    <s v="PayPal"/>
    <x v="4"/>
    <x v="1"/>
    <x v="88"/>
    <n v="1249.95"/>
  </r>
  <r>
    <s v="TRX0098"/>
    <x v="58"/>
    <x v="8"/>
    <x v="8"/>
    <s v="P009"/>
    <x v="0"/>
    <x v="0"/>
    <x v="0"/>
    <n v="249.99"/>
    <s v="PayPal"/>
    <x v="2"/>
    <x v="1"/>
    <x v="89"/>
    <n v="749.97"/>
  </r>
  <r>
    <s v="TRX0247"/>
    <x v="58"/>
    <x v="3"/>
    <x v="3"/>
    <s v="P006"/>
    <x v="9"/>
    <x v="2"/>
    <x v="4"/>
    <n v="199.99"/>
    <s v="Cash"/>
    <x v="2"/>
    <x v="2"/>
    <x v="90"/>
    <n v="799.96"/>
  </r>
  <r>
    <s v="TRX0027"/>
    <x v="59"/>
    <x v="32"/>
    <x v="32"/>
    <s v="P006"/>
    <x v="9"/>
    <x v="2"/>
    <x v="1"/>
    <n v="199.99"/>
    <s v="Cash"/>
    <x v="2"/>
    <x v="1"/>
    <x v="91"/>
    <n v="999.95"/>
  </r>
  <r>
    <s v="TRX0140"/>
    <x v="60"/>
    <x v="14"/>
    <x v="14"/>
    <s v="P010"/>
    <x v="8"/>
    <x v="0"/>
    <x v="2"/>
    <n v="89.99"/>
    <s v="Cash"/>
    <x v="4"/>
    <x v="1"/>
    <x v="92"/>
    <n v="179.98"/>
  </r>
  <r>
    <s v="TRX0132"/>
    <x v="61"/>
    <x v="38"/>
    <x v="38"/>
    <s v="P001"/>
    <x v="4"/>
    <x v="0"/>
    <x v="1"/>
    <n v="899.99"/>
    <s v="Debit Card"/>
    <x v="4"/>
    <x v="0"/>
    <x v="93"/>
    <n v="4499.95"/>
  </r>
  <r>
    <s v="TRX0031"/>
    <x v="61"/>
    <x v="20"/>
    <x v="20"/>
    <s v="P003"/>
    <x v="3"/>
    <x v="0"/>
    <x v="0"/>
    <n v="149.99"/>
    <s v="PayPal"/>
    <x v="4"/>
    <x v="0"/>
    <x v="94"/>
    <n v="449.97"/>
  </r>
  <r>
    <s v="TRX0236"/>
    <x v="62"/>
    <x v="19"/>
    <x v="19"/>
    <s v="P008"/>
    <x v="2"/>
    <x v="2"/>
    <x v="1"/>
    <n v="149.99"/>
    <s v="Credit Card"/>
    <x v="0"/>
    <x v="0"/>
    <x v="95"/>
    <n v="749.95"/>
  </r>
  <r>
    <s v="TRX0001"/>
    <x v="63"/>
    <x v="40"/>
    <x v="40"/>
    <s v="P004"/>
    <x v="7"/>
    <x v="1"/>
    <x v="0"/>
    <n v="79.989999999999995"/>
    <s v="Cash"/>
    <x v="0"/>
    <x v="1"/>
    <x v="96"/>
    <n v="239.97"/>
  </r>
  <r>
    <s v="TRX0037"/>
    <x v="63"/>
    <x v="28"/>
    <x v="28"/>
    <s v="P009"/>
    <x v="0"/>
    <x v="0"/>
    <x v="2"/>
    <n v="249.99"/>
    <s v="Cash"/>
    <x v="1"/>
    <x v="2"/>
    <x v="97"/>
    <n v="499.98"/>
  </r>
  <r>
    <s v="TRX0058"/>
    <x v="64"/>
    <x v="38"/>
    <x v="38"/>
    <s v="P002"/>
    <x v="5"/>
    <x v="0"/>
    <x v="3"/>
    <n v="699.99"/>
    <s v="Cash"/>
    <x v="0"/>
    <x v="1"/>
    <x v="98"/>
    <n v="699.99"/>
  </r>
  <r>
    <s v="TRX0170"/>
    <x v="64"/>
    <x v="41"/>
    <x v="41"/>
    <s v="P003"/>
    <x v="3"/>
    <x v="0"/>
    <x v="0"/>
    <n v="149.99"/>
    <s v="Cash"/>
    <x v="3"/>
    <x v="1"/>
    <x v="99"/>
    <n v="449.97"/>
  </r>
  <r>
    <s v="TRX0248"/>
    <x v="65"/>
    <x v="42"/>
    <x v="42"/>
    <s v="P002"/>
    <x v="5"/>
    <x v="0"/>
    <x v="2"/>
    <n v="699.99"/>
    <s v="Credit Card"/>
    <x v="2"/>
    <x v="1"/>
    <x v="63"/>
    <n v="1399.98"/>
  </r>
  <r>
    <s v="TRX0099"/>
    <x v="66"/>
    <x v="41"/>
    <x v="41"/>
    <s v="P009"/>
    <x v="0"/>
    <x v="0"/>
    <x v="3"/>
    <n v="249.99"/>
    <s v="Credit Card"/>
    <x v="3"/>
    <x v="1"/>
    <x v="100"/>
    <n v="249.99"/>
  </r>
  <r>
    <s v="TRX0074"/>
    <x v="66"/>
    <x v="0"/>
    <x v="0"/>
    <s v="P009"/>
    <x v="0"/>
    <x v="0"/>
    <x v="3"/>
    <n v="249.99"/>
    <s v="Debit Card"/>
    <x v="2"/>
    <x v="1"/>
    <x v="101"/>
    <n v="249.99"/>
  </r>
  <r>
    <s v="TRX0225"/>
    <x v="67"/>
    <x v="40"/>
    <x v="40"/>
    <s v="P002"/>
    <x v="5"/>
    <x v="0"/>
    <x v="2"/>
    <n v="699.99"/>
    <s v="Debit Card"/>
    <x v="0"/>
    <x v="1"/>
    <x v="102"/>
    <n v="1399.98"/>
  </r>
  <r>
    <s v="TRX0100"/>
    <x v="68"/>
    <x v="26"/>
    <x v="26"/>
    <s v="P005"/>
    <x v="1"/>
    <x v="1"/>
    <x v="0"/>
    <n v="59.99"/>
    <s v="Credit Card"/>
    <x v="0"/>
    <x v="1"/>
    <x v="103"/>
    <n v="179.97"/>
  </r>
  <r>
    <s v="TRX0142"/>
    <x v="69"/>
    <x v="25"/>
    <x v="25"/>
    <s v="P005"/>
    <x v="1"/>
    <x v="1"/>
    <x v="0"/>
    <n v="59.99"/>
    <s v="PayPal"/>
    <x v="4"/>
    <x v="2"/>
    <x v="104"/>
    <n v="179.97"/>
  </r>
  <r>
    <s v="TRX0112"/>
    <x v="69"/>
    <x v="27"/>
    <x v="27"/>
    <s v="P004"/>
    <x v="7"/>
    <x v="1"/>
    <x v="4"/>
    <n v="79.989999999999995"/>
    <s v="Cash"/>
    <x v="2"/>
    <x v="0"/>
    <x v="105"/>
    <n v="319.95999999999998"/>
  </r>
  <r>
    <s v="TRX0161"/>
    <x v="70"/>
    <x v="6"/>
    <x v="6"/>
    <s v="P004"/>
    <x v="7"/>
    <x v="1"/>
    <x v="3"/>
    <n v="79.989999999999995"/>
    <s v="Cash"/>
    <x v="3"/>
    <x v="0"/>
    <x v="106"/>
    <n v="79.989999999999995"/>
  </r>
  <r>
    <s v="TRX0108"/>
    <x v="71"/>
    <x v="5"/>
    <x v="5"/>
    <s v="P007"/>
    <x v="6"/>
    <x v="2"/>
    <x v="0"/>
    <n v="299.99"/>
    <s v="Credit Card"/>
    <x v="0"/>
    <x v="1"/>
    <x v="107"/>
    <n v="899.97"/>
  </r>
  <r>
    <s v="TRX0211"/>
    <x v="72"/>
    <x v="3"/>
    <x v="3"/>
    <s v="P010"/>
    <x v="8"/>
    <x v="0"/>
    <x v="2"/>
    <n v="89.99"/>
    <s v="Credit Card"/>
    <x v="1"/>
    <x v="1"/>
    <x v="108"/>
    <n v="179.98"/>
  </r>
  <r>
    <s v="TRX0005"/>
    <x v="73"/>
    <x v="43"/>
    <x v="43"/>
    <s v="P003"/>
    <x v="3"/>
    <x v="0"/>
    <x v="4"/>
    <n v="149.99"/>
    <s v="Cash"/>
    <x v="2"/>
    <x v="0"/>
    <x v="67"/>
    <n v="599.96"/>
  </r>
  <r>
    <s v="TRX0195"/>
    <x v="74"/>
    <x v="8"/>
    <x v="8"/>
    <s v="P009"/>
    <x v="0"/>
    <x v="0"/>
    <x v="2"/>
    <n v="249.99"/>
    <s v="PayPal"/>
    <x v="1"/>
    <x v="0"/>
    <x v="57"/>
    <n v="499.98"/>
  </r>
  <r>
    <s v="TRX0054"/>
    <x v="74"/>
    <x v="31"/>
    <x v="31"/>
    <s v="P006"/>
    <x v="9"/>
    <x v="2"/>
    <x v="4"/>
    <n v="199.99"/>
    <s v="Debit Card"/>
    <x v="4"/>
    <x v="0"/>
    <x v="90"/>
    <n v="799.96"/>
  </r>
  <r>
    <s v="TRX0077"/>
    <x v="75"/>
    <x v="29"/>
    <x v="29"/>
    <s v="P010"/>
    <x v="8"/>
    <x v="0"/>
    <x v="1"/>
    <n v="89.99"/>
    <s v="Credit Card"/>
    <x v="4"/>
    <x v="1"/>
    <x v="109"/>
    <n v="449.95"/>
  </r>
  <r>
    <s v="TRX0111"/>
    <x v="75"/>
    <x v="44"/>
    <x v="44"/>
    <s v="P003"/>
    <x v="3"/>
    <x v="0"/>
    <x v="3"/>
    <n v="149.99"/>
    <s v="PayPal"/>
    <x v="4"/>
    <x v="2"/>
    <x v="110"/>
    <n v="149.99"/>
  </r>
  <r>
    <s v="TRX0123"/>
    <x v="75"/>
    <x v="10"/>
    <x v="10"/>
    <s v="P002"/>
    <x v="5"/>
    <x v="0"/>
    <x v="4"/>
    <n v="699.99"/>
    <s v="PayPal"/>
    <x v="1"/>
    <x v="0"/>
    <x v="111"/>
    <n v="2799.96"/>
  </r>
  <r>
    <s v="TRX0177"/>
    <x v="76"/>
    <x v="42"/>
    <x v="42"/>
    <s v="P001"/>
    <x v="4"/>
    <x v="0"/>
    <x v="0"/>
    <n v="899.99"/>
    <s v="Credit Card"/>
    <x v="2"/>
    <x v="2"/>
    <x v="112"/>
    <n v="2699.97"/>
  </r>
  <r>
    <s v="TRX0119"/>
    <x v="77"/>
    <x v="21"/>
    <x v="21"/>
    <s v="P008"/>
    <x v="2"/>
    <x v="2"/>
    <x v="0"/>
    <n v="149.99"/>
    <s v="PayPal"/>
    <x v="4"/>
    <x v="0"/>
    <x v="113"/>
    <n v="449.97"/>
  </r>
  <r>
    <s v="TRX0181"/>
    <x v="78"/>
    <x v="18"/>
    <x v="18"/>
    <s v="P007"/>
    <x v="6"/>
    <x v="2"/>
    <x v="2"/>
    <n v="299.99"/>
    <s v="Debit Card"/>
    <x v="0"/>
    <x v="0"/>
    <x v="114"/>
    <n v="599.98"/>
  </r>
  <r>
    <s v="TRX0129"/>
    <x v="79"/>
    <x v="45"/>
    <x v="45"/>
    <s v="P006"/>
    <x v="9"/>
    <x v="2"/>
    <x v="3"/>
    <n v="199.99"/>
    <s v="Debit Card"/>
    <x v="4"/>
    <x v="2"/>
    <x v="115"/>
    <n v="199.99"/>
  </r>
  <r>
    <s v="TRX0174"/>
    <x v="80"/>
    <x v="4"/>
    <x v="4"/>
    <s v="P007"/>
    <x v="6"/>
    <x v="2"/>
    <x v="4"/>
    <n v="299.99"/>
    <s v="Cash"/>
    <x v="0"/>
    <x v="1"/>
    <x v="116"/>
    <n v="1199.96"/>
  </r>
  <r>
    <s v="TRX0146"/>
    <x v="81"/>
    <x v="15"/>
    <x v="15"/>
    <s v="P005"/>
    <x v="1"/>
    <x v="1"/>
    <x v="2"/>
    <n v="59.99"/>
    <s v="Credit Card"/>
    <x v="0"/>
    <x v="0"/>
    <x v="47"/>
    <n v="119.98"/>
  </r>
  <r>
    <s v="TRX0203"/>
    <x v="81"/>
    <x v="42"/>
    <x v="42"/>
    <s v="P003"/>
    <x v="3"/>
    <x v="0"/>
    <x v="4"/>
    <n v="149.99"/>
    <s v="Credit Card"/>
    <x v="2"/>
    <x v="1"/>
    <x v="117"/>
    <n v="599.96"/>
  </r>
  <r>
    <s v="TRX0055"/>
    <x v="82"/>
    <x v="39"/>
    <x v="39"/>
    <s v="P002"/>
    <x v="5"/>
    <x v="0"/>
    <x v="2"/>
    <n v="699.99"/>
    <s v="Debit Card"/>
    <x v="4"/>
    <x v="1"/>
    <x v="118"/>
    <n v="1399.98"/>
  </r>
  <r>
    <s v="TRX0218"/>
    <x v="82"/>
    <x v="41"/>
    <x v="41"/>
    <s v="P008"/>
    <x v="2"/>
    <x v="2"/>
    <x v="0"/>
    <n v="149.99"/>
    <s v="Credit Card"/>
    <x v="1"/>
    <x v="2"/>
    <x v="119"/>
    <n v="449.97"/>
  </r>
  <r>
    <s v="TRX0085"/>
    <x v="83"/>
    <x v="29"/>
    <x v="29"/>
    <s v="P007"/>
    <x v="6"/>
    <x v="2"/>
    <x v="0"/>
    <n v="299.99"/>
    <s v="Credit Card"/>
    <x v="0"/>
    <x v="2"/>
    <x v="120"/>
    <n v="899.97"/>
  </r>
  <r>
    <s v="TRX0158"/>
    <x v="84"/>
    <x v="13"/>
    <x v="13"/>
    <s v="P001"/>
    <x v="4"/>
    <x v="0"/>
    <x v="0"/>
    <n v="899.99"/>
    <s v="PayPal"/>
    <x v="3"/>
    <x v="0"/>
    <x v="121"/>
    <n v="2699.97"/>
  </r>
  <r>
    <s v="TRX0173"/>
    <x v="85"/>
    <x v="17"/>
    <x v="17"/>
    <s v="P002"/>
    <x v="5"/>
    <x v="0"/>
    <x v="1"/>
    <n v="699.99"/>
    <s v="Cash"/>
    <x v="4"/>
    <x v="2"/>
    <x v="122"/>
    <n v="3499.95"/>
  </r>
  <r>
    <s v="TRX0034"/>
    <x v="85"/>
    <x v="34"/>
    <x v="34"/>
    <s v="P002"/>
    <x v="5"/>
    <x v="0"/>
    <x v="4"/>
    <n v="699.99"/>
    <s v="Credit Card"/>
    <x v="0"/>
    <x v="0"/>
    <x v="123"/>
    <n v="2799.96"/>
  </r>
  <r>
    <s v="TRX0189"/>
    <x v="85"/>
    <x v="30"/>
    <x v="30"/>
    <s v="P001"/>
    <x v="4"/>
    <x v="0"/>
    <x v="3"/>
    <n v="899.99"/>
    <s v="Credit Card"/>
    <x v="4"/>
    <x v="2"/>
    <x v="124"/>
    <n v="899.99"/>
  </r>
  <r>
    <s v="TRX0190"/>
    <x v="86"/>
    <x v="40"/>
    <x v="40"/>
    <s v="P003"/>
    <x v="3"/>
    <x v="0"/>
    <x v="2"/>
    <n v="149.99"/>
    <s v="Credit Card"/>
    <x v="3"/>
    <x v="0"/>
    <x v="125"/>
    <n v="299.98"/>
  </r>
  <r>
    <s v="TRX0079"/>
    <x v="87"/>
    <x v="40"/>
    <x v="40"/>
    <s v="P010"/>
    <x v="8"/>
    <x v="0"/>
    <x v="0"/>
    <n v="89.99"/>
    <s v="PayPal"/>
    <x v="0"/>
    <x v="0"/>
    <x v="126"/>
    <n v="269.97000000000003"/>
  </r>
  <r>
    <s v="TRX0095"/>
    <x v="88"/>
    <x v="3"/>
    <x v="3"/>
    <s v="P003"/>
    <x v="3"/>
    <x v="0"/>
    <x v="2"/>
    <n v="149.99"/>
    <s v="PayPal"/>
    <x v="0"/>
    <x v="0"/>
    <x v="127"/>
    <n v="299.98"/>
  </r>
  <r>
    <s v="TRX0009"/>
    <x v="88"/>
    <x v="31"/>
    <x v="31"/>
    <s v="P002"/>
    <x v="5"/>
    <x v="0"/>
    <x v="2"/>
    <n v="699.99"/>
    <s v="Cash"/>
    <x v="0"/>
    <x v="0"/>
    <x v="128"/>
    <n v="1399.98"/>
  </r>
  <r>
    <s v="TRX0167"/>
    <x v="89"/>
    <x v="32"/>
    <x v="32"/>
    <s v="P002"/>
    <x v="5"/>
    <x v="0"/>
    <x v="1"/>
    <n v="699.99"/>
    <s v="Cash"/>
    <x v="2"/>
    <x v="1"/>
    <x v="129"/>
    <n v="3499.95"/>
  </r>
  <r>
    <s v="TRX0153"/>
    <x v="90"/>
    <x v="34"/>
    <x v="34"/>
    <s v="P010"/>
    <x v="8"/>
    <x v="0"/>
    <x v="0"/>
    <n v="89.99"/>
    <s v="Credit Card"/>
    <x v="2"/>
    <x v="2"/>
    <x v="130"/>
    <n v="269.97000000000003"/>
  </r>
  <r>
    <s v="TRX0057"/>
    <x v="91"/>
    <x v="0"/>
    <x v="0"/>
    <s v="P009"/>
    <x v="0"/>
    <x v="0"/>
    <x v="1"/>
    <n v="249.99"/>
    <s v="Credit Card"/>
    <x v="1"/>
    <x v="2"/>
    <x v="131"/>
    <n v="1249.95"/>
  </r>
  <r>
    <s v="TRX0017"/>
    <x v="92"/>
    <x v="8"/>
    <x v="8"/>
    <s v="P007"/>
    <x v="6"/>
    <x v="2"/>
    <x v="0"/>
    <n v="299.99"/>
    <s v="Credit Card"/>
    <x v="1"/>
    <x v="2"/>
    <x v="132"/>
    <n v="899.97"/>
  </r>
  <r>
    <s v="TRX0060"/>
    <x v="93"/>
    <x v="18"/>
    <x v="18"/>
    <s v="P010"/>
    <x v="8"/>
    <x v="0"/>
    <x v="0"/>
    <n v="89.99"/>
    <s v="Credit Card"/>
    <x v="2"/>
    <x v="1"/>
    <x v="133"/>
    <n v="269.97000000000003"/>
  </r>
  <r>
    <s v="TRX0109"/>
    <x v="94"/>
    <x v="15"/>
    <x v="15"/>
    <s v="P008"/>
    <x v="2"/>
    <x v="2"/>
    <x v="2"/>
    <n v="149.99"/>
    <s v="Credit Card"/>
    <x v="3"/>
    <x v="1"/>
    <x v="134"/>
    <n v="299.98"/>
  </r>
  <r>
    <s v="TRX0090"/>
    <x v="95"/>
    <x v="36"/>
    <x v="36"/>
    <s v="P009"/>
    <x v="0"/>
    <x v="0"/>
    <x v="3"/>
    <n v="249.99"/>
    <s v="Credit Card"/>
    <x v="2"/>
    <x v="1"/>
    <x v="135"/>
    <n v="249.99"/>
  </r>
  <r>
    <s v="TRX0035"/>
    <x v="96"/>
    <x v="10"/>
    <x v="10"/>
    <s v="P003"/>
    <x v="3"/>
    <x v="0"/>
    <x v="0"/>
    <n v="149.99"/>
    <s v="Cash"/>
    <x v="2"/>
    <x v="0"/>
    <x v="136"/>
    <n v="449.97"/>
  </r>
  <r>
    <s v="TRX0172"/>
    <x v="96"/>
    <x v="0"/>
    <x v="0"/>
    <s v="P005"/>
    <x v="1"/>
    <x v="1"/>
    <x v="1"/>
    <n v="59.99"/>
    <s v="PayPal"/>
    <x v="3"/>
    <x v="1"/>
    <x v="137"/>
    <n v="299.95"/>
  </r>
  <r>
    <s v="TRX0076"/>
    <x v="96"/>
    <x v="18"/>
    <x v="18"/>
    <s v="P009"/>
    <x v="0"/>
    <x v="0"/>
    <x v="4"/>
    <n v="249.99"/>
    <s v="Credit Card"/>
    <x v="3"/>
    <x v="2"/>
    <x v="138"/>
    <n v="999.96"/>
  </r>
  <r>
    <s v="TRX0210"/>
    <x v="97"/>
    <x v="31"/>
    <x v="31"/>
    <s v="P008"/>
    <x v="2"/>
    <x v="2"/>
    <x v="1"/>
    <n v="149.99"/>
    <s v="PayPal"/>
    <x v="0"/>
    <x v="0"/>
    <x v="139"/>
    <n v="749.95"/>
  </r>
  <r>
    <s v="TRX0149"/>
    <x v="97"/>
    <x v="13"/>
    <x v="13"/>
    <s v="P005"/>
    <x v="1"/>
    <x v="1"/>
    <x v="0"/>
    <n v="59.99"/>
    <s v="Debit Card"/>
    <x v="1"/>
    <x v="2"/>
    <x v="140"/>
    <n v="179.97"/>
  </r>
  <r>
    <s v="TRX0073"/>
    <x v="98"/>
    <x v="42"/>
    <x v="42"/>
    <s v="P008"/>
    <x v="2"/>
    <x v="2"/>
    <x v="1"/>
    <n v="149.99"/>
    <s v="Cash"/>
    <x v="2"/>
    <x v="0"/>
    <x v="141"/>
    <n v="749.95"/>
  </r>
  <r>
    <s v="TRX0033"/>
    <x v="98"/>
    <x v="14"/>
    <x v="14"/>
    <s v="P002"/>
    <x v="5"/>
    <x v="0"/>
    <x v="2"/>
    <n v="699.99"/>
    <s v="PayPal"/>
    <x v="3"/>
    <x v="2"/>
    <x v="142"/>
    <n v="1399.98"/>
  </r>
  <r>
    <s v="TRX0160"/>
    <x v="99"/>
    <x v="23"/>
    <x v="23"/>
    <s v="P006"/>
    <x v="9"/>
    <x v="2"/>
    <x v="4"/>
    <n v="199.99"/>
    <s v="Debit Card"/>
    <x v="0"/>
    <x v="1"/>
    <x v="143"/>
    <n v="799.96"/>
  </r>
  <r>
    <s v="TRX0145"/>
    <x v="100"/>
    <x v="37"/>
    <x v="37"/>
    <s v="P005"/>
    <x v="1"/>
    <x v="1"/>
    <x v="3"/>
    <n v="59.99"/>
    <s v="Debit Card"/>
    <x v="3"/>
    <x v="2"/>
    <x v="144"/>
    <n v="59.99"/>
  </r>
  <r>
    <s v="TRX0148"/>
    <x v="100"/>
    <x v="31"/>
    <x v="31"/>
    <s v="P002"/>
    <x v="5"/>
    <x v="0"/>
    <x v="0"/>
    <n v="699.99"/>
    <s v="PayPal"/>
    <x v="3"/>
    <x v="2"/>
    <x v="145"/>
    <n v="2099.9699999999998"/>
  </r>
  <r>
    <s v="TRX0012"/>
    <x v="101"/>
    <x v="46"/>
    <x v="46"/>
    <s v="P009"/>
    <x v="0"/>
    <x v="0"/>
    <x v="1"/>
    <n v="249.99"/>
    <s v="Credit Card"/>
    <x v="2"/>
    <x v="0"/>
    <x v="146"/>
    <n v="1249.95"/>
  </r>
  <r>
    <s v="TRX0206"/>
    <x v="102"/>
    <x v="21"/>
    <x v="21"/>
    <s v="P008"/>
    <x v="2"/>
    <x v="2"/>
    <x v="2"/>
    <n v="149.99"/>
    <s v="Cash"/>
    <x v="1"/>
    <x v="2"/>
    <x v="147"/>
    <n v="299.98"/>
  </r>
  <r>
    <s v="TRX0045"/>
    <x v="103"/>
    <x v="2"/>
    <x v="2"/>
    <s v="P007"/>
    <x v="6"/>
    <x v="2"/>
    <x v="0"/>
    <n v="299.99"/>
    <s v="Cash"/>
    <x v="1"/>
    <x v="1"/>
    <x v="138"/>
    <n v="899.97"/>
  </r>
  <r>
    <s v="TRX0094"/>
    <x v="103"/>
    <x v="6"/>
    <x v="6"/>
    <s v="P009"/>
    <x v="0"/>
    <x v="0"/>
    <x v="1"/>
    <n v="249.99"/>
    <s v="Cash"/>
    <x v="0"/>
    <x v="1"/>
    <x v="148"/>
    <n v="1249.95"/>
  </r>
  <r>
    <s v="TRX0133"/>
    <x v="103"/>
    <x v="1"/>
    <x v="1"/>
    <s v="P003"/>
    <x v="3"/>
    <x v="0"/>
    <x v="2"/>
    <n v="149.99"/>
    <s v="Cash"/>
    <x v="1"/>
    <x v="1"/>
    <x v="149"/>
    <n v="299.98"/>
  </r>
  <r>
    <s v="TRX0201"/>
    <x v="103"/>
    <x v="14"/>
    <x v="14"/>
    <s v="P002"/>
    <x v="5"/>
    <x v="0"/>
    <x v="1"/>
    <n v="699.99"/>
    <s v="Debit Card"/>
    <x v="3"/>
    <x v="2"/>
    <x v="150"/>
    <n v="3499.95"/>
  </r>
  <r>
    <s v="TRX0137"/>
    <x v="104"/>
    <x v="44"/>
    <x v="44"/>
    <s v="P009"/>
    <x v="0"/>
    <x v="0"/>
    <x v="4"/>
    <n v="249.99"/>
    <s v="PayPal"/>
    <x v="4"/>
    <x v="1"/>
    <x v="151"/>
    <n v="999.96"/>
  </r>
  <r>
    <s v="TRX0066"/>
    <x v="105"/>
    <x v="5"/>
    <x v="5"/>
    <s v="P002"/>
    <x v="5"/>
    <x v="0"/>
    <x v="4"/>
    <n v="699.99"/>
    <s v="Credit Card"/>
    <x v="2"/>
    <x v="1"/>
    <x v="152"/>
    <n v="2799.96"/>
  </r>
  <r>
    <s v="TRX0180"/>
    <x v="106"/>
    <x v="20"/>
    <x v="20"/>
    <s v="P009"/>
    <x v="0"/>
    <x v="0"/>
    <x v="2"/>
    <n v="249.99"/>
    <s v="Credit Card"/>
    <x v="0"/>
    <x v="1"/>
    <x v="153"/>
    <n v="499.98"/>
  </r>
  <r>
    <s v="TRX0082"/>
    <x v="106"/>
    <x v="47"/>
    <x v="47"/>
    <s v="P005"/>
    <x v="1"/>
    <x v="1"/>
    <x v="0"/>
    <n v="59.99"/>
    <s v="Cash"/>
    <x v="0"/>
    <x v="1"/>
    <x v="154"/>
    <n v="179.97"/>
  </r>
  <r>
    <s v="TRX0036"/>
    <x v="106"/>
    <x v="27"/>
    <x v="27"/>
    <s v="P004"/>
    <x v="7"/>
    <x v="1"/>
    <x v="4"/>
    <n v="79.989999999999995"/>
    <s v="Debit Card"/>
    <x v="4"/>
    <x v="2"/>
    <x v="155"/>
    <n v="319.95999999999998"/>
  </r>
  <r>
    <s v="TRX0198"/>
    <x v="107"/>
    <x v="22"/>
    <x v="22"/>
    <s v="P004"/>
    <x v="7"/>
    <x v="1"/>
    <x v="0"/>
    <n v="79.989999999999995"/>
    <s v="Debit Card"/>
    <x v="4"/>
    <x v="2"/>
    <x v="96"/>
    <n v="239.97"/>
  </r>
  <r>
    <s v="TRX0032"/>
    <x v="108"/>
    <x v="10"/>
    <x v="10"/>
    <s v="P001"/>
    <x v="4"/>
    <x v="0"/>
    <x v="2"/>
    <n v="899.99"/>
    <s v="Cash"/>
    <x v="2"/>
    <x v="0"/>
    <x v="156"/>
    <n v="1799.98"/>
  </r>
  <r>
    <s v="TRX0081"/>
    <x v="109"/>
    <x v="35"/>
    <x v="35"/>
    <s v="P008"/>
    <x v="2"/>
    <x v="2"/>
    <x v="3"/>
    <n v="149.99"/>
    <s v="Debit Card"/>
    <x v="4"/>
    <x v="2"/>
    <x v="157"/>
    <n v="149.99"/>
  </r>
  <r>
    <s v="TRX0224"/>
    <x v="109"/>
    <x v="26"/>
    <x v="26"/>
    <s v="P007"/>
    <x v="6"/>
    <x v="2"/>
    <x v="2"/>
    <n v="299.99"/>
    <s v="Cash"/>
    <x v="4"/>
    <x v="1"/>
    <x v="158"/>
    <n v="599.98"/>
  </r>
  <r>
    <s v="TRX0028"/>
    <x v="110"/>
    <x v="25"/>
    <x v="25"/>
    <s v="P005"/>
    <x v="1"/>
    <x v="1"/>
    <x v="2"/>
    <n v="59.99"/>
    <s v="Cash"/>
    <x v="3"/>
    <x v="0"/>
    <x v="159"/>
    <n v="119.98"/>
  </r>
  <r>
    <s v="TRX0183"/>
    <x v="111"/>
    <x v="35"/>
    <x v="35"/>
    <s v="P010"/>
    <x v="8"/>
    <x v="0"/>
    <x v="3"/>
    <n v="89.99"/>
    <s v="Debit Card"/>
    <x v="0"/>
    <x v="2"/>
    <x v="160"/>
    <n v="89.99"/>
  </r>
  <r>
    <s v="TRX0163"/>
    <x v="111"/>
    <x v="29"/>
    <x v="29"/>
    <s v="P001"/>
    <x v="4"/>
    <x v="0"/>
    <x v="1"/>
    <n v="899.99"/>
    <s v="Debit Card"/>
    <x v="4"/>
    <x v="2"/>
    <x v="161"/>
    <n v="4499.95"/>
  </r>
  <r>
    <s v="TRX0046"/>
    <x v="112"/>
    <x v="4"/>
    <x v="4"/>
    <s v="P008"/>
    <x v="2"/>
    <x v="2"/>
    <x v="2"/>
    <n v="149.99"/>
    <s v="Cash"/>
    <x v="1"/>
    <x v="0"/>
    <x v="162"/>
    <n v="299.98"/>
  </r>
  <r>
    <s v="TRX0164"/>
    <x v="113"/>
    <x v="21"/>
    <x v="21"/>
    <s v="P003"/>
    <x v="3"/>
    <x v="0"/>
    <x v="2"/>
    <n v="149.99"/>
    <s v="Debit Card"/>
    <x v="3"/>
    <x v="1"/>
    <x v="163"/>
    <n v="299.98"/>
  </r>
  <r>
    <s v="TRX0008"/>
    <x v="113"/>
    <x v="35"/>
    <x v="35"/>
    <s v="P008"/>
    <x v="2"/>
    <x v="2"/>
    <x v="0"/>
    <n v="149.99"/>
    <s v="Debit Card"/>
    <x v="2"/>
    <x v="2"/>
    <x v="164"/>
    <n v="449.97"/>
  </r>
  <r>
    <s v="TRX0171"/>
    <x v="114"/>
    <x v="2"/>
    <x v="2"/>
    <s v="P007"/>
    <x v="6"/>
    <x v="2"/>
    <x v="2"/>
    <n v="299.99"/>
    <s v="PayPal"/>
    <x v="1"/>
    <x v="0"/>
    <x v="165"/>
    <n v="599.98"/>
  </r>
  <r>
    <s v="TRX0143"/>
    <x v="115"/>
    <x v="4"/>
    <x v="4"/>
    <s v="P007"/>
    <x v="6"/>
    <x v="2"/>
    <x v="2"/>
    <n v="299.99"/>
    <s v="Cash"/>
    <x v="3"/>
    <x v="0"/>
    <x v="166"/>
    <n v="599.98"/>
  </r>
  <r>
    <s v="TRX0165"/>
    <x v="115"/>
    <x v="22"/>
    <x v="22"/>
    <s v="P006"/>
    <x v="9"/>
    <x v="2"/>
    <x v="4"/>
    <n v="199.99"/>
    <s v="Credit Card"/>
    <x v="0"/>
    <x v="0"/>
    <x v="82"/>
    <n v="799.96"/>
  </r>
  <r>
    <s v="TRX0156"/>
    <x v="116"/>
    <x v="7"/>
    <x v="7"/>
    <s v="P010"/>
    <x v="8"/>
    <x v="0"/>
    <x v="3"/>
    <n v="89.99"/>
    <s v="Credit Card"/>
    <x v="1"/>
    <x v="1"/>
    <x v="167"/>
    <n v="89.99"/>
  </r>
  <r>
    <s v="TRX0147"/>
    <x v="116"/>
    <x v="20"/>
    <x v="20"/>
    <s v="P008"/>
    <x v="2"/>
    <x v="2"/>
    <x v="1"/>
    <n v="149.99"/>
    <s v="Cash"/>
    <x v="0"/>
    <x v="1"/>
    <x v="168"/>
    <n v="749.95"/>
  </r>
  <r>
    <s v="TRX0207"/>
    <x v="117"/>
    <x v="14"/>
    <x v="14"/>
    <s v="P001"/>
    <x v="4"/>
    <x v="0"/>
    <x v="3"/>
    <n v="899.99"/>
    <s v="PayPal"/>
    <x v="2"/>
    <x v="1"/>
    <x v="169"/>
    <n v="899.99"/>
  </r>
  <r>
    <s v="TRX0056"/>
    <x v="118"/>
    <x v="29"/>
    <x v="29"/>
    <s v="P010"/>
    <x v="8"/>
    <x v="0"/>
    <x v="2"/>
    <n v="89.99"/>
    <s v="Credit Card"/>
    <x v="1"/>
    <x v="1"/>
    <x v="170"/>
    <n v="179.98"/>
  </r>
  <r>
    <s v="TRX0026"/>
    <x v="119"/>
    <x v="48"/>
    <x v="48"/>
    <s v="P001"/>
    <x v="4"/>
    <x v="0"/>
    <x v="3"/>
    <n v="899.99"/>
    <s v="PayPal"/>
    <x v="2"/>
    <x v="2"/>
    <x v="171"/>
    <n v="899.99"/>
  </r>
  <r>
    <s v="TRX0237"/>
    <x v="120"/>
    <x v="24"/>
    <x v="24"/>
    <s v="P003"/>
    <x v="3"/>
    <x v="0"/>
    <x v="1"/>
    <n v="149.99"/>
    <s v="PayPal"/>
    <x v="4"/>
    <x v="1"/>
    <x v="34"/>
    <n v="749.95"/>
  </r>
  <r>
    <s v="TRX0091"/>
    <x v="120"/>
    <x v="4"/>
    <x v="4"/>
    <s v="P007"/>
    <x v="6"/>
    <x v="2"/>
    <x v="0"/>
    <n v="299.99"/>
    <s v="Cash"/>
    <x v="1"/>
    <x v="2"/>
    <x v="172"/>
    <n v="899.97"/>
  </r>
  <r>
    <s v="TRX0125"/>
    <x v="121"/>
    <x v="8"/>
    <x v="8"/>
    <s v="P002"/>
    <x v="5"/>
    <x v="0"/>
    <x v="0"/>
    <n v="699.99"/>
    <s v="Credit Card"/>
    <x v="0"/>
    <x v="1"/>
    <x v="173"/>
    <n v="2099.9699999999998"/>
  </r>
  <r>
    <s v="TRX0223"/>
    <x v="122"/>
    <x v="20"/>
    <x v="20"/>
    <s v="P006"/>
    <x v="9"/>
    <x v="2"/>
    <x v="1"/>
    <n v="199.99"/>
    <s v="PayPal"/>
    <x v="0"/>
    <x v="2"/>
    <x v="174"/>
    <n v="999.95"/>
  </r>
  <r>
    <s v="TRX0243"/>
    <x v="122"/>
    <x v="16"/>
    <x v="16"/>
    <s v="P009"/>
    <x v="0"/>
    <x v="0"/>
    <x v="1"/>
    <n v="249.99"/>
    <s v="Credit Card"/>
    <x v="1"/>
    <x v="0"/>
    <x v="175"/>
    <n v="1249.95"/>
  </r>
  <r>
    <s v="TRX0084"/>
    <x v="123"/>
    <x v="26"/>
    <x v="26"/>
    <s v="P003"/>
    <x v="3"/>
    <x v="0"/>
    <x v="4"/>
    <n v="149.99"/>
    <s v="Debit Card"/>
    <x v="4"/>
    <x v="2"/>
    <x v="176"/>
    <n v="599.96"/>
  </r>
  <r>
    <s v="TRX0238"/>
    <x v="123"/>
    <x v="12"/>
    <x v="12"/>
    <s v="P002"/>
    <x v="5"/>
    <x v="0"/>
    <x v="0"/>
    <n v="699.99"/>
    <s v="Cash"/>
    <x v="2"/>
    <x v="1"/>
    <x v="177"/>
    <n v="2099.9699999999998"/>
  </r>
  <r>
    <s v="TRX0102"/>
    <x v="124"/>
    <x v="46"/>
    <x v="46"/>
    <s v="P004"/>
    <x v="7"/>
    <x v="1"/>
    <x v="3"/>
    <n v="79.989999999999995"/>
    <s v="Credit Card"/>
    <x v="1"/>
    <x v="0"/>
    <x v="178"/>
    <n v="79.989999999999995"/>
  </r>
  <r>
    <s v="TRX0022"/>
    <x v="124"/>
    <x v="14"/>
    <x v="14"/>
    <s v="P007"/>
    <x v="6"/>
    <x v="2"/>
    <x v="3"/>
    <n v="299.99"/>
    <s v="Credit Card"/>
    <x v="2"/>
    <x v="0"/>
    <x v="179"/>
    <n v="299.99"/>
  </r>
  <r>
    <s v="TRX0087"/>
    <x v="125"/>
    <x v="32"/>
    <x v="32"/>
    <s v="P009"/>
    <x v="0"/>
    <x v="0"/>
    <x v="4"/>
    <n v="249.99"/>
    <s v="Credit Card"/>
    <x v="2"/>
    <x v="1"/>
    <x v="116"/>
    <n v="999.96"/>
  </r>
  <r>
    <s v="TRX0107"/>
    <x v="125"/>
    <x v="22"/>
    <x v="22"/>
    <s v="P003"/>
    <x v="3"/>
    <x v="0"/>
    <x v="2"/>
    <n v="149.99"/>
    <s v="Cash"/>
    <x v="2"/>
    <x v="2"/>
    <x v="180"/>
    <n v="299.98"/>
  </r>
  <r>
    <s v="TRX0051"/>
    <x v="125"/>
    <x v="42"/>
    <x v="42"/>
    <s v="P007"/>
    <x v="6"/>
    <x v="2"/>
    <x v="0"/>
    <n v="299.99"/>
    <s v="Credit Card"/>
    <x v="1"/>
    <x v="0"/>
    <x v="181"/>
    <n v="899.97"/>
  </r>
  <r>
    <s v="TRX0106"/>
    <x v="126"/>
    <x v="40"/>
    <x v="40"/>
    <s v="P006"/>
    <x v="9"/>
    <x v="2"/>
    <x v="4"/>
    <n v="199.99"/>
    <s v="Debit Card"/>
    <x v="1"/>
    <x v="2"/>
    <x v="182"/>
    <n v="799.96"/>
  </r>
  <r>
    <s v="TRX0059"/>
    <x v="126"/>
    <x v="39"/>
    <x v="39"/>
    <s v="P007"/>
    <x v="6"/>
    <x v="2"/>
    <x v="1"/>
    <n v="299.99"/>
    <s v="Debit Card"/>
    <x v="0"/>
    <x v="0"/>
    <x v="183"/>
    <n v="1499.95"/>
  </r>
  <r>
    <s v="TRX0072"/>
    <x v="126"/>
    <x v="7"/>
    <x v="7"/>
    <s v="P008"/>
    <x v="2"/>
    <x v="2"/>
    <x v="0"/>
    <n v="149.99"/>
    <s v="Credit Card"/>
    <x v="4"/>
    <x v="2"/>
    <x v="184"/>
    <n v="449.97"/>
  </r>
  <r>
    <s v="TRX0110"/>
    <x v="127"/>
    <x v="24"/>
    <x v="24"/>
    <s v="P005"/>
    <x v="1"/>
    <x v="1"/>
    <x v="1"/>
    <n v="59.99"/>
    <s v="Debit Card"/>
    <x v="4"/>
    <x v="0"/>
    <x v="185"/>
    <n v="299.95"/>
  </r>
  <r>
    <s v="TRX0126"/>
    <x v="128"/>
    <x v="9"/>
    <x v="9"/>
    <s v="P005"/>
    <x v="1"/>
    <x v="1"/>
    <x v="4"/>
    <n v="59.99"/>
    <s v="Debit Card"/>
    <x v="4"/>
    <x v="2"/>
    <x v="170"/>
    <n v="239.96"/>
  </r>
  <r>
    <s v="TRX0159"/>
    <x v="129"/>
    <x v="5"/>
    <x v="5"/>
    <s v="P009"/>
    <x v="0"/>
    <x v="0"/>
    <x v="4"/>
    <n v="249.99"/>
    <s v="Debit Card"/>
    <x v="0"/>
    <x v="1"/>
    <x v="186"/>
    <n v="999.96"/>
  </r>
  <r>
    <s v="TRX0030"/>
    <x v="130"/>
    <x v="44"/>
    <x v="44"/>
    <s v="P001"/>
    <x v="4"/>
    <x v="0"/>
    <x v="4"/>
    <n v="899.99"/>
    <s v="PayPal"/>
    <x v="0"/>
    <x v="0"/>
    <x v="187"/>
    <n v="3599.96"/>
  </r>
  <r>
    <s v="TRX0178"/>
    <x v="130"/>
    <x v="14"/>
    <x v="14"/>
    <s v="P007"/>
    <x v="6"/>
    <x v="2"/>
    <x v="0"/>
    <n v="299.99"/>
    <s v="Debit Card"/>
    <x v="3"/>
    <x v="2"/>
    <x v="188"/>
    <n v="899.97"/>
  </r>
  <r>
    <s v="TRX0188"/>
    <x v="130"/>
    <x v="46"/>
    <x v="46"/>
    <s v="P002"/>
    <x v="5"/>
    <x v="0"/>
    <x v="2"/>
    <n v="699.99"/>
    <s v="Debit Card"/>
    <x v="0"/>
    <x v="1"/>
    <x v="189"/>
    <n v="1399.98"/>
  </r>
  <r>
    <s v="TRX0010"/>
    <x v="131"/>
    <x v="8"/>
    <x v="8"/>
    <s v="P002"/>
    <x v="5"/>
    <x v="0"/>
    <x v="4"/>
    <n v="699.99"/>
    <s v="Debit Card"/>
    <x v="3"/>
    <x v="1"/>
    <x v="190"/>
    <n v="2799.96"/>
  </r>
  <r>
    <s v="TRX0069"/>
    <x v="131"/>
    <x v="23"/>
    <x v="23"/>
    <s v="P010"/>
    <x v="8"/>
    <x v="0"/>
    <x v="2"/>
    <n v="89.99"/>
    <s v="Debit Card"/>
    <x v="1"/>
    <x v="0"/>
    <x v="191"/>
    <n v="179.98"/>
  </r>
  <r>
    <s v="TRX0166"/>
    <x v="131"/>
    <x v="4"/>
    <x v="4"/>
    <s v="P010"/>
    <x v="8"/>
    <x v="0"/>
    <x v="0"/>
    <n v="89.99"/>
    <s v="Debit Card"/>
    <x v="1"/>
    <x v="1"/>
    <x v="192"/>
    <n v="269.97000000000003"/>
  </r>
  <r>
    <s v="TRX0219"/>
    <x v="132"/>
    <x v="48"/>
    <x v="48"/>
    <s v="P005"/>
    <x v="1"/>
    <x v="1"/>
    <x v="3"/>
    <n v="59.99"/>
    <s v="Debit Card"/>
    <x v="0"/>
    <x v="2"/>
    <x v="193"/>
    <n v="59.99"/>
  </r>
  <r>
    <s v="TRX0024"/>
    <x v="133"/>
    <x v="43"/>
    <x v="43"/>
    <s v="P008"/>
    <x v="2"/>
    <x v="2"/>
    <x v="0"/>
    <n v="149.99"/>
    <s v="Debit Card"/>
    <x v="2"/>
    <x v="1"/>
    <x v="170"/>
    <n v="449.97"/>
  </r>
  <r>
    <s v="TRX0105"/>
    <x v="133"/>
    <x v="16"/>
    <x v="16"/>
    <s v="P007"/>
    <x v="6"/>
    <x v="2"/>
    <x v="1"/>
    <n v="299.99"/>
    <s v="Credit Card"/>
    <x v="1"/>
    <x v="0"/>
    <x v="194"/>
    <n v="1499.95"/>
  </r>
  <r>
    <s v="TRX0011"/>
    <x v="134"/>
    <x v="30"/>
    <x v="30"/>
    <s v="P005"/>
    <x v="1"/>
    <x v="1"/>
    <x v="1"/>
    <n v="59.99"/>
    <s v="Debit Card"/>
    <x v="0"/>
    <x v="2"/>
    <x v="195"/>
    <n v="299.95"/>
  </r>
  <r>
    <s v="TRX0187"/>
    <x v="135"/>
    <x v="20"/>
    <x v="20"/>
    <s v="P004"/>
    <x v="7"/>
    <x v="1"/>
    <x v="0"/>
    <n v="79.989999999999995"/>
    <s v="Cash"/>
    <x v="4"/>
    <x v="1"/>
    <x v="179"/>
    <n v="239.97"/>
  </r>
  <r>
    <s v="TRX0089"/>
    <x v="136"/>
    <x v="2"/>
    <x v="2"/>
    <s v="P006"/>
    <x v="9"/>
    <x v="2"/>
    <x v="0"/>
    <n v="199.99"/>
    <s v="Cash"/>
    <x v="0"/>
    <x v="0"/>
    <x v="196"/>
    <n v="599.97"/>
  </r>
  <r>
    <s v="TRX0196"/>
    <x v="136"/>
    <x v="0"/>
    <x v="0"/>
    <s v="P010"/>
    <x v="8"/>
    <x v="0"/>
    <x v="2"/>
    <n v="89.99"/>
    <s v="PayPal"/>
    <x v="0"/>
    <x v="0"/>
    <x v="197"/>
    <n v="179.98"/>
  </r>
  <r>
    <s v="TRX0118"/>
    <x v="137"/>
    <x v="45"/>
    <x v="45"/>
    <s v="P008"/>
    <x v="2"/>
    <x v="2"/>
    <x v="2"/>
    <n v="149.99"/>
    <s v="Cash"/>
    <x v="1"/>
    <x v="1"/>
    <x v="198"/>
    <n v="299.98"/>
  </r>
  <r>
    <s v="TRX0179"/>
    <x v="138"/>
    <x v="23"/>
    <x v="23"/>
    <s v="P002"/>
    <x v="5"/>
    <x v="0"/>
    <x v="1"/>
    <n v="699.99"/>
    <s v="PayPal"/>
    <x v="1"/>
    <x v="1"/>
    <x v="54"/>
    <n v="3499.95"/>
  </r>
  <r>
    <s v="TRX0168"/>
    <x v="138"/>
    <x v="4"/>
    <x v="4"/>
    <s v="P008"/>
    <x v="2"/>
    <x v="2"/>
    <x v="0"/>
    <n v="149.99"/>
    <s v="PayPal"/>
    <x v="0"/>
    <x v="2"/>
    <x v="174"/>
    <n v="449.97"/>
  </r>
  <r>
    <s v="TRX0214"/>
    <x v="139"/>
    <x v="17"/>
    <x v="17"/>
    <s v="P001"/>
    <x v="4"/>
    <x v="0"/>
    <x v="0"/>
    <n v="899.99"/>
    <s v="Cash"/>
    <x v="4"/>
    <x v="2"/>
    <x v="199"/>
    <n v="2699.97"/>
  </r>
  <r>
    <s v="TRX0221"/>
    <x v="139"/>
    <x v="37"/>
    <x v="37"/>
    <s v="P006"/>
    <x v="9"/>
    <x v="2"/>
    <x v="0"/>
    <n v="199.99"/>
    <s v="Cash"/>
    <x v="3"/>
    <x v="1"/>
    <x v="31"/>
    <n v="599.97"/>
  </r>
  <r>
    <s v="TRX0083"/>
    <x v="140"/>
    <x v="6"/>
    <x v="6"/>
    <s v="P007"/>
    <x v="6"/>
    <x v="2"/>
    <x v="1"/>
    <n v="299.99"/>
    <s v="Cash"/>
    <x v="3"/>
    <x v="2"/>
    <x v="200"/>
    <n v="1499.95"/>
  </r>
  <r>
    <s v="TRX0151"/>
    <x v="140"/>
    <x v="30"/>
    <x v="30"/>
    <s v="P002"/>
    <x v="5"/>
    <x v="0"/>
    <x v="3"/>
    <n v="699.99"/>
    <s v="PayPal"/>
    <x v="3"/>
    <x v="0"/>
    <x v="201"/>
    <n v="699.99"/>
  </r>
  <r>
    <s v="TRX0047"/>
    <x v="141"/>
    <x v="43"/>
    <x v="43"/>
    <s v="P002"/>
    <x v="5"/>
    <x v="0"/>
    <x v="3"/>
    <n v="699.99"/>
    <s v="Cash"/>
    <x v="2"/>
    <x v="1"/>
    <x v="145"/>
    <n v="699.99"/>
  </r>
  <r>
    <s v="TRX0200"/>
    <x v="141"/>
    <x v="48"/>
    <x v="48"/>
    <s v="P008"/>
    <x v="2"/>
    <x v="2"/>
    <x v="4"/>
    <n v="149.99"/>
    <s v="PayPal"/>
    <x v="2"/>
    <x v="1"/>
    <x v="30"/>
    <n v="599.96"/>
  </r>
  <r>
    <s v="TRX0062"/>
    <x v="141"/>
    <x v="39"/>
    <x v="39"/>
    <s v="P010"/>
    <x v="8"/>
    <x v="0"/>
    <x v="1"/>
    <n v="89.99"/>
    <s v="PayPal"/>
    <x v="3"/>
    <x v="1"/>
    <x v="202"/>
    <n v="449.95"/>
  </r>
  <r>
    <s v="TRX0182"/>
    <x v="142"/>
    <x v="26"/>
    <x v="26"/>
    <s v="P006"/>
    <x v="9"/>
    <x v="2"/>
    <x v="2"/>
    <n v="199.99"/>
    <s v="Cash"/>
    <x v="0"/>
    <x v="1"/>
    <x v="203"/>
    <n v="399.98"/>
  </r>
  <r>
    <s v="TRX0229"/>
    <x v="143"/>
    <x v="45"/>
    <x v="45"/>
    <s v="P005"/>
    <x v="1"/>
    <x v="1"/>
    <x v="4"/>
    <n v="59.99"/>
    <s v="Cash"/>
    <x v="3"/>
    <x v="2"/>
    <x v="204"/>
    <n v="239.96"/>
  </r>
  <r>
    <s v="TRX0048"/>
    <x v="143"/>
    <x v="16"/>
    <x v="16"/>
    <s v="P007"/>
    <x v="6"/>
    <x v="2"/>
    <x v="2"/>
    <n v="299.99"/>
    <s v="PayPal"/>
    <x v="1"/>
    <x v="0"/>
    <x v="205"/>
    <n v="599.98"/>
  </r>
  <r>
    <s v="TRX0227"/>
    <x v="144"/>
    <x v="6"/>
    <x v="6"/>
    <s v="P008"/>
    <x v="2"/>
    <x v="2"/>
    <x v="2"/>
    <n v="149.99"/>
    <s v="Cash"/>
    <x v="0"/>
    <x v="0"/>
    <x v="32"/>
    <n v="299.98"/>
  </r>
  <r>
    <s v="TRX0226"/>
    <x v="145"/>
    <x v="40"/>
    <x v="40"/>
    <s v="P002"/>
    <x v="5"/>
    <x v="0"/>
    <x v="1"/>
    <n v="699.99"/>
    <s v="Debit Card"/>
    <x v="4"/>
    <x v="1"/>
    <x v="65"/>
    <n v="3499.95"/>
  </r>
  <r>
    <s v="TRX0053"/>
    <x v="146"/>
    <x v="11"/>
    <x v="11"/>
    <s v="P005"/>
    <x v="1"/>
    <x v="1"/>
    <x v="1"/>
    <n v="59.99"/>
    <s v="Cash"/>
    <x v="3"/>
    <x v="1"/>
    <x v="206"/>
    <n v="299.95"/>
  </r>
  <r>
    <s v="TRX0233"/>
    <x v="147"/>
    <x v="0"/>
    <x v="0"/>
    <s v="P010"/>
    <x v="8"/>
    <x v="0"/>
    <x v="2"/>
    <n v="89.99"/>
    <s v="Credit Card"/>
    <x v="3"/>
    <x v="1"/>
    <x v="4"/>
    <n v="179.98"/>
  </r>
  <r>
    <s v="TRX0175"/>
    <x v="147"/>
    <x v="22"/>
    <x v="22"/>
    <s v="P009"/>
    <x v="0"/>
    <x v="0"/>
    <x v="1"/>
    <n v="249.99"/>
    <s v="Cash"/>
    <x v="4"/>
    <x v="2"/>
    <x v="207"/>
    <n v="1249.95"/>
  </r>
  <r>
    <s v="TRX0186"/>
    <x v="148"/>
    <x v="40"/>
    <x v="40"/>
    <s v="P008"/>
    <x v="2"/>
    <x v="2"/>
    <x v="2"/>
    <n v="149.99"/>
    <s v="PayPal"/>
    <x v="0"/>
    <x v="1"/>
    <x v="208"/>
    <n v="299.98"/>
  </r>
  <r>
    <s v="TRX0016"/>
    <x v="148"/>
    <x v="28"/>
    <x v="28"/>
    <s v="P001"/>
    <x v="4"/>
    <x v="0"/>
    <x v="1"/>
    <n v="899.99"/>
    <s v="PayPal"/>
    <x v="4"/>
    <x v="1"/>
    <x v="64"/>
    <n v="4499.95"/>
  </r>
  <r>
    <s v="TRX0199"/>
    <x v="148"/>
    <x v="6"/>
    <x v="6"/>
    <s v="P008"/>
    <x v="2"/>
    <x v="2"/>
    <x v="4"/>
    <n v="149.99"/>
    <s v="Cash"/>
    <x v="0"/>
    <x v="2"/>
    <x v="209"/>
    <n v="599.96"/>
  </r>
  <r>
    <s v="TRX0038"/>
    <x v="149"/>
    <x v="28"/>
    <x v="28"/>
    <s v="P009"/>
    <x v="0"/>
    <x v="0"/>
    <x v="3"/>
    <n v="249.99"/>
    <s v="Cash"/>
    <x v="2"/>
    <x v="2"/>
    <x v="210"/>
    <n v="249.99"/>
  </r>
  <r>
    <s v="TRX0014"/>
    <x v="150"/>
    <x v="37"/>
    <x v="37"/>
    <s v="P005"/>
    <x v="1"/>
    <x v="1"/>
    <x v="2"/>
    <n v="59.99"/>
    <s v="Credit Card"/>
    <x v="3"/>
    <x v="0"/>
    <x v="211"/>
    <n v="119.98"/>
  </r>
  <r>
    <s v="TRX0003"/>
    <x v="151"/>
    <x v="25"/>
    <x v="25"/>
    <s v="P008"/>
    <x v="2"/>
    <x v="2"/>
    <x v="2"/>
    <n v="149.99"/>
    <s v="Cash"/>
    <x v="3"/>
    <x v="1"/>
    <x v="212"/>
    <n v="299.98"/>
  </r>
  <r>
    <s v="TRX0124"/>
    <x v="151"/>
    <x v="30"/>
    <x v="30"/>
    <s v="P001"/>
    <x v="4"/>
    <x v="0"/>
    <x v="0"/>
    <n v="899.99"/>
    <s v="Debit Card"/>
    <x v="2"/>
    <x v="1"/>
    <x v="213"/>
    <n v="2699.97"/>
  </r>
  <r>
    <s v="TRX0013"/>
    <x v="151"/>
    <x v="5"/>
    <x v="5"/>
    <s v="P001"/>
    <x v="4"/>
    <x v="0"/>
    <x v="0"/>
    <n v="899.99"/>
    <s v="PayPal"/>
    <x v="2"/>
    <x v="0"/>
    <x v="214"/>
    <n v="2699.97"/>
  </r>
  <r>
    <s v="TRX0019"/>
    <x v="152"/>
    <x v="0"/>
    <x v="0"/>
    <s v="P007"/>
    <x v="6"/>
    <x v="2"/>
    <x v="0"/>
    <n v="299.99"/>
    <s v="Credit Card"/>
    <x v="3"/>
    <x v="1"/>
    <x v="215"/>
    <n v="899.97"/>
  </r>
  <r>
    <s v="TRX0050"/>
    <x v="153"/>
    <x v="49"/>
    <x v="49"/>
    <s v="P008"/>
    <x v="2"/>
    <x v="2"/>
    <x v="4"/>
    <n v="149.99"/>
    <s v="PayPal"/>
    <x v="3"/>
    <x v="2"/>
    <x v="144"/>
    <n v="599.96"/>
  </r>
  <r>
    <s v="TRX0152"/>
    <x v="154"/>
    <x v="19"/>
    <x v="19"/>
    <s v="P004"/>
    <x v="7"/>
    <x v="1"/>
    <x v="4"/>
    <n v="79.989999999999995"/>
    <s v="Credit Card"/>
    <x v="0"/>
    <x v="0"/>
    <x v="216"/>
    <n v="319.95999999999998"/>
  </r>
  <r>
    <s v="TRX0213"/>
    <x v="155"/>
    <x v="36"/>
    <x v="36"/>
    <s v="P010"/>
    <x v="8"/>
    <x v="0"/>
    <x v="1"/>
    <n v="89.99"/>
    <s v="PayPal"/>
    <x v="1"/>
    <x v="0"/>
    <x v="217"/>
    <n v="449.95"/>
  </r>
  <r>
    <s v="TRX0197"/>
    <x v="156"/>
    <x v="16"/>
    <x v="16"/>
    <s v="P008"/>
    <x v="2"/>
    <x v="2"/>
    <x v="0"/>
    <n v="149.99"/>
    <s v="PayPal"/>
    <x v="0"/>
    <x v="2"/>
    <x v="218"/>
    <n v="449.97"/>
  </r>
  <r>
    <s v="TRX0250"/>
    <x v="156"/>
    <x v="8"/>
    <x v="8"/>
    <s v="P010"/>
    <x v="8"/>
    <x v="0"/>
    <x v="2"/>
    <n v="89.99"/>
    <s v="Debit Card"/>
    <x v="3"/>
    <x v="1"/>
    <x v="164"/>
    <n v="179.98"/>
  </r>
  <r>
    <s v="TRX0068"/>
    <x v="157"/>
    <x v="19"/>
    <x v="19"/>
    <s v="P002"/>
    <x v="5"/>
    <x v="0"/>
    <x v="2"/>
    <n v="699.99"/>
    <s v="PayPal"/>
    <x v="2"/>
    <x v="2"/>
    <x v="111"/>
    <n v="1399.98"/>
  </r>
  <r>
    <s v="TRX0144"/>
    <x v="158"/>
    <x v="23"/>
    <x v="23"/>
    <s v="P001"/>
    <x v="4"/>
    <x v="0"/>
    <x v="0"/>
    <n v="899.99"/>
    <s v="Cash"/>
    <x v="0"/>
    <x v="2"/>
    <x v="115"/>
    <n v="2699.97"/>
  </r>
  <r>
    <s v="TRX0039"/>
    <x v="159"/>
    <x v="16"/>
    <x v="16"/>
    <s v="P004"/>
    <x v="7"/>
    <x v="1"/>
    <x v="0"/>
    <n v="79.989999999999995"/>
    <s v="Credit Card"/>
    <x v="2"/>
    <x v="0"/>
    <x v="219"/>
    <n v="239.97"/>
  </r>
  <r>
    <s v="TRX0116"/>
    <x v="160"/>
    <x v="7"/>
    <x v="7"/>
    <s v="P010"/>
    <x v="8"/>
    <x v="0"/>
    <x v="3"/>
    <n v="89.99"/>
    <s v="Debit Card"/>
    <x v="4"/>
    <x v="0"/>
    <x v="220"/>
    <n v="89.99"/>
  </r>
  <r>
    <s v="TRX0120"/>
    <x v="161"/>
    <x v="46"/>
    <x v="46"/>
    <s v="P002"/>
    <x v="5"/>
    <x v="0"/>
    <x v="0"/>
    <n v="699.99"/>
    <s v="PayPal"/>
    <x v="2"/>
    <x v="0"/>
    <x v="67"/>
    <n v="2099.9699999999998"/>
  </r>
  <r>
    <s v="TRX0103"/>
    <x v="161"/>
    <x v="40"/>
    <x v="40"/>
    <s v="P010"/>
    <x v="8"/>
    <x v="0"/>
    <x v="2"/>
    <n v="89.99"/>
    <s v="Debit Card"/>
    <x v="4"/>
    <x v="0"/>
    <x v="221"/>
    <n v="179.98"/>
  </r>
  <r>
    <s v="TRX0064"/>
    <x v="161"/>
    <x v="26"/>
    <x v="26"/>
    <s v="P010"/>
    <x v="8"/>
    <x v="0"/>
    <x v="0"/>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DC5C5E-52D7-4851-B0E2-FAF9A1C93C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K7" firstHeaderRow="1" firstDataRow="1" firstDataCol="1"/>
  <pivotFields count="17">
    <pivotField showAll="0"/>
    <pivotField numFmtId="16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showAll="0">
      <items count="4">
        <item x="1"/>
        <item x="0"/>
        <item x="2"/>
        <item t="default"/>
      </items>
    </pivotField>
    <pivotField showAll="0">
      <items count="6">
        <item x="3"/>
        <item x="2"/>
        <item x="0"/>
        <item x="4"/>
        <item x="1"/>
        <item t="default"/>
      </items>
    </pivotField>
    <pivotField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6">
    <i>
      <x v="1"/>
    </i>
    <i>
      <x v="2"/>
    </i>
    <i>
      <x v="4"/>
    </i>
    <i>
      <x/>
    </i>
    <i>
      <x v="3"/>
    </i>
    <i t="grand">
      <x/>
    </i>
  </rowItems>
  <colItems count="1">
    <i/>
  </colItems>
  <dataFields count="1">
    <dataField name="Sum of Total_Amount" fld="13"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1"/>
          </reference>
        </references>
      </pivotArea>
    </chartFormat>
    <chartFormat chart="2" format="2">
      <pivotArea type="data" outline="0" fieldPosition="0">
        <references count="2">
          <reference field="4294967294" count="1" selected="0">
            <x v="0"/>
          </reference>
          <reference field="10" count="1" selected="0">
            <x v="2"/>
          </reference>
        </references>
      </pivotArea>
    </chartFormat>
    <chartFormat chart="2" format="3">
      <pivotArea type="data" outline="0" fieldPosition="0">
        <references count="2">
          <reference field="4294967294" count="1" selected="0">
            <x v="0"/>
          </reference>
          <reference field="10" count="1" selected="0">
            <x v="4"/>
          </reference>
        </references>
      </pivotArea>
    </chartFormat>
    <chartFormat chart="2" format="4">
      <pivotArea type="data" outline="0" fieldPosition="0">
        <references count="2">
          <reference field="4294967294" count="1" selected="0">
            <x v="0"/>
          </reference>
          <reference field="10" count="1" selected="0">
            <x v="0"/>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0" count="1" selected="0">
            <x v="1"/>
          </reference>
        </references>
      </pivotArea>
    </chartFormat>
    <chartFormat chart="10" format="14">
      <pivotArea type="data" outline="0" fieldPosition="0">
        <references count="2">
          <reference field="4294967294" count="1" selected="0">
            <x v="0"/>
          </reference>
          <reference field="10" count="1" selected="0">
            <x v="2"/>
          </reference>
        </references>
      </pivotArea>
    </chartFormat>
    <chartFormat chart="10" format="15">
      <pivotArea type="data" outline="0" fieldPosition="0">
        <references count="2">
          <reference field="4294967294" count="1" selected="0">
            <x v="0"/>
          </reference>
          <reference field="10" count="1" selected="0">
            <x v="4"/>
          </reference>
        </references>
      </pivotArea>
    </chartFormat>
    <chartFormat chart="10" format="16">
      <pivotArea type="data" outline="0" fieldPosition="0">
        <references count="2">
          <reference field="4294967294" count="1" selected="0">
            <x v="0"/>
          </reference>
          <reference field="10" count="1" selected="0">
            <x v="0"/>
          </reference>
        </references>
      </pivotArea>
    </chartFormat>
    <chartFormat chart="10" format="17">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39423F-0F3F-4EB3-88C2-C89622619A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6" firstHeaderRow="1" firstDataRow="1" firstDataCol="1"/>
  <pivotFields count="17">
    <pivotField showAll="0"/>
    <pivotField numFmtId="16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axis="axisRow" showAll="0">
      <items count="4">
        <item x="1"/>
        <item x="0"/>
        <item x="2"/>
        <item t="default"/>
      </items>
    </pivotField>
    <pivotField dataField="1" showAll="0">
      <items count="6">
        <item x="3"/>
        <item x="2"/>
        <item x="0"/>
        <item x="4"/>
        <item x="1"/>
        <item t="default"/>
      </items>
    </pivotField>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Count of Quantity" fld="7"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700DF5-5BED-4C34-B9F5-A6E550CE81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E13" firstHeaderRow="1" firstDataRow="1" firstDataCol="1"/>
  <pivotFields count="17">
    <pivotField showAll="0"/>
    <pivotField numFmtId="16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3"/>
        <item x="2"/>
        <item x="0"/>
        <item x="4"/>
        <item x="1"/>
        <item t="default"/>
      </items>
    </pivotField>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41E04-D67A-4424-94AC-1C514C8D0C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4" firstHeaderRow="1" firstDataRow="1" firstDataCol="1"/>
  <pivotFields count="17">
    <pivotField showAll="0"/>
    <pivotField numFmtId="164" showAll="0"/>
    <pivotField showAll="0"/>
    <pivotField axis="axisRow" showAll="0"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items count="11">
        <item x="1"/>
        <item x="2"/>
        <item x="7"/>
        <item x="6"/>
        <item x="3"/>
        <item x="8"/>
        <item x="4"/>
        <item x="0"/>
        <item x="9"/>
        <item x="5"/>
        <item t="default"/>
      </items>
    </pivotField>
    <pivotField showAll="0">
      <items count="4">
        <item x="1"/>
        <item x="0"/>
        <item x="2"/>
        <item t="default"/>
      </items>
    </pivotField>
    <pivotField showAll="0">
      <items count="6">
        <item x="3"/>
        <item x="2"/>
        <item x="0"/>
        <item x="4"/>
        <item x="1"/>
        <item t="default"/>
      </items>
    </pivotField>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51">
    <i>
      <x v="32"/>
    </i>
    <i>
      <x v="11"/>
    </i>
    <i>
      <x v="1"/>
    </i>
    <i>
      <x v="36"/>
    </i>
    <i>
      <x v="37"/>
    </i>
    <i>
      <x v="9"/>
    </i>
    <i>
      <x v="24"/>
    </i>
    <i>
      <x v="6"/>
    </i>
    <i>
      <x v="27"/>
    </i>
    <i>
      <x v="22"/>
    </i>
    <i>
      <x v="18"/>
    </i>
    <i>
      <x v="16"/>
    </i>
    <i>
      <x v="43"/>
    </i>
    <i>
      <x v="33"/>
    </i>
    <i>
      <x v="38"/>
    </i>
    <i>
      <x v="2"/>
    </i>
    <i>
      <x v="45"/>
    </i>
    <i>
      <x v="17"/>
    </i>
    <i>
      <x v="44"/>
    </i>
    <i>
      <x v="4"/>
    </i>
    <i>
      <x v="10"/>
    </i>
    <i>
      <x v="48"/>
    </i>
    <i>
      <x v="49"/>
    </i>
    <i>
      <x v="20"/>
    </i>
    <i>
      <x v="25"/>
    </i>
    <i>
      <x v="34"/>
    </i>
    <i>
      <x v="35"/>
    </i>
    <i>
      <x v="15"/>
    </i>
    <i>
      <x v="5"/>
    </i>
    <i>
      <x v="39"/>
    </i>
    <i>
      <x v="12"/>
    </i>
    <i>
      <x v="41"/>
    </i>
    <i>
      <x v="26"/>
    </i>
    <i>
      <x v="46"/>
    </i>
    <i>
      <x v="30"/>
    </i>
    <i>
      <x v="29"/>
    </i>
    <i>
      <x v="47"/>
    </i>
    <i>
      <x v="31"/>
    </i>
    <i>
      <x v="7"/>
    </i>
    <i>
      <x v="42"/>
    </i>
    <i>
      <x/>
    </i>
    <i>
      <x v="14"/>
    </i>
    <i>
      <x v="28"/>
    </i>
    <i>
      <x v="13"/>
    </i>
    <i>
      <x v="3"/>
    </i>
    <i>
      <x v="40"/>
    </i>
    <i>
      <x v="21"/>
    </i>
    <i>
      <x v="8"/>
    </i>
    <i>
      <x v="23"/>
    </i>
    <i>
      <x v="19"/>
    </i>
    <i t="grand">
      <x/>
    </i>
  </rowItems>
  <colItems count="1">
    <i/>
  </colItems>
  <dataFields count="1">
    <dataField name="Sum of Total_Amount" fld="13"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5E45EC84-B325-4D7E-8622-4D870C914845}">
            <x14:pivotAreas count="1">
              <pivotArea type="data" collapsedLevelsAreSubtotals="1" fieldPosition="0">
                <references count="2">
                  <reference field="4294967294" count="1" selected="0">
                    <x v="0"/>
                  </reference>
                  <reference field="3" count="41">
                    <x v="0"/>
                    <x v="1"/>
                    <x v="2"/>
                    <x v="3"/>
                    <x v="4"/>
                    <x v="5"/>
                    <x v="6"/>
                    <x v="9"/>
                    <x v="10"/>
                    <x v="11"/>
                    <x v="12"/>
                    <x v="14"/>
                    <x v="15"/>
                    <x v="16"/>
                    <x v="17"/>
                    <x v="18"/>
                    <x v="20"/>
                    <x v="22"/>
                    <x v="24"/>
                    <x v="25"/>
                    <x v="26"/>
                    <x v="27"/>
                    <x v="30"/>
                    <x v="31"/>
                    <x v="32"/>
                    <x v="33"/>
                    <x v="34"/>
                    <x v="35"/>
                    <x v="36"/>
                    <x v="37"/>
                    <x v="38"/>
                    <x v="39"/>
                    <x v="41"/>
                    <x v="42"/>
                    <x v="43"/>
                    <x v="44"/>
                    <x v="45"/>
                    <x v="46"/>
                    <x v="47"/>
                    <x v="48"/>
                    <x v="49"/>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860A5B-B42D-4D6F-AA2E-30122789F4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6" firstHeaderRow="1" firstDataRow="1" firstDataCol="1"/>
  <pivotFields count="17">
    <pivotField showAll="0"/>
    <pivotField numFmtId="16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showAll="0">
      <items count="4">
        <item x="1"/>
        <item x="0"/>
        <item x="2"/>
        <item t="default"/>
      </items>
    </pivotField>
    <pivotField showAll="0">
      <items count="6">
        <item x="3"/>
        <item x="2"/>
        <item x="0"/>
        <item x="4"/>
        <item x="1"/>
        <item t="default"/>
      </items>
    </pivotField>
    <pivotField showAll="0"/>
    <pivotField showAll="0"/>
    <pivotField showAll="0">
      <items count="6">
        <item x="0"/>
        <item x="4"/>
        <item x="2"/>
        <item x="1"/>
        <item x="3"/>
        <item t="default"/>
      </items>
    </pivotField>
    <pivotField showAll="0"/>
    <pivotField axis="axisRow"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defaultSubtotal="0">
      <items count="14">
        <item sd="0" x="0"/>
        <item sd="0" x="1"/>
        <item sd="0" x="2"/>
        <item sd="0" x="3"/>
        <item sd="0" x="4"/>
        <item sd="0" x="5"/>
        <item sd="0" x="6"/>
        <item x="7"/>
        <item sd="0" x="8"/>
        <item sd="0" x="9"/>
        <item sd="0" x="10"/>
        <item sd="0" x="11"/>
        <item sd="0" x="12"/>
        <item sd="0" x="13"/>
      </items>
    </pivotField>
    <pivotField axis="axisRow" showAll="0" defaultSubtotal="0">
      <items count="6">
        <item sd="0" x="0"/>
        <item sd="0" x="1"/>
        <item sd="0" x="2"/>
        <item x="3"/>
        <item sd="0" x="4"/>
        <item sd="0" x="5"/>
      </items>
    </pivotField>
    <pivotField axis="axisRow" showAll="0" defaultSubtotal="0">
      <items count="6">
        <item sd="0" x="0"/>
        <item sd="0" x="1"/>
        <item sd="0" x="2"/>
        <item sd="0" x="3"/>
        <item sd="0" x="4"/>
        <item sd="0" x="5"/>
      </items>
    </pivotField>
  </pivotFields>
  <rowFields count="4">
    <field x="16"/>
    <field x="15"/>
    <field x="14"/>
    <field x="12"/>
  </rowFields>
  <rowItems count="5">
    <i>
      <x v="1"/>
    </i>
    <i>
      <x v="2"/>
    </i>
    <i>
      <x v="3"/>
    </i>
    <i>
      <x v="4"/>
    </i>
    <i t="grand">
      <x/>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CD7039C8-E757-4142-9618-400BD87DE77F}" sourceName="Customer_Name">
  <pivotTables>
    <pivotTable tabId="7" name="PivotTable2"/>
    <pivotTable tabId="7" name="PivotTable3"/>
    <pivotTable tabId="7" name="PivotTable4"/>
    <pivotTable tabId="7" name="PivotTable5"/>
    <pivotTable tabId="7" name="PivotTable6"/>
  </pivotTables>
  <data>
    <tabular pivotCacheId="2051481670">
      <items count="50">
        <i x="48" s="1"/>
        <i x="17" s="1"/>
        <i x="32" s="1"/>
        <i x="41" s="1"/>
        <i x="6" s="1"/>
        <i x="19" s="1"/>
        <i x="29" s="1"/>
        <i x="35" s="1"/>
        <i x="11" s="1"/>
        <i x="5" s="1"/>
        <i x="46" s="1"/>
        <i x="23" s="1"/>
        <i x="39" s="1"/>
        <i x="25" s="1"/>
        <i x="37" s="1"/>
        <i x="13" s="1"/>
        <i x="38" s="1"/>
        <i x="28" s="1"/>
        <i x="22" s="1"/>
        <i x="47" s="1"/>
        <i x="27" s="1"/>
        <i x="49" s="1"/>
        <i x="1" s="1"/>
        <i x="33" s="1"/>
        <i x="8" s="1"/>
        <i x="3" s="1"/>
        <i x="2" s="1"/>
        <i x="40" s="1"/>
        <i x="21" s="1"/>
        <i x="24" s="1"/>
        <i x="36" s="1"/>
        <i x="15" s="1"/>
        <i x="14" s="1"/>
        <i x="4" s="1"/>
        <i x="12" s="1"/>
        <i x="20" s="1"/>
        <i x="18" s="1"/>
        <i x="0" s="1"/>
        <i x="10" s="1"/>
        <i x="34" s="1"/>
        <i x="45" s="1"/>
        <i x="7" s="1"/>
        <i x="43" s="1"/>
        <i x="42" s="1"/>
        <i x="31" s="1"/>
        <i x="30" s="1"/>
        <i x="26" s="1"/>
        <i x="9" s="1"/>
        <i x="16"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FA18E71-E351-4875-99C4-9F9425049C2E}" sourceName="Product_Name">
  <pivotTables>
    <pivotTable tabId="7" name="PivotTable2"/>
    <pivotTable tabId="7" name="PivotTable3"/>
    <pivotTable tabId="7" name="PivotTable4"/>
    <pivotTable tabId="7" name="PivotTable5"/>
    <pivotTable tabId="7" name="PivotTable6"/>
  </pivotTables>
  <data>
    <tabular pivotCacheId="2051481670">
      <items count="10">
        <i x="1" s="1"/>
        <i x="2" s="1"/>
        <i x="7" s="1"/>
        <i x="6" s="1"/>
        <i x="3" s="1"/>
        <i x="8" s="1"/>
        <i x="4" s="1"/>
        <i x="0"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A55C90-6F5B-447F-A5AC-B084615C7D47}" sourceName="Category">
  <pivotTables>
    <pivotTable tabId="7" name="PivotTable2"/>
    <pivotTable tabId="7" name="PivotTable3"/>
    <pivotTable tabId="7" name="PivotTable4"/>
    <pivotTable tabId="7" name="PivotTable5"/>
    <pivotTable tabId="7" name="PivotTable6"/>
  </pivotTables>
  <data>
    <tabular pivotCacheId="205148167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38CF8FE5-5E7B-4AC2-B3AC-B67CE38A8291}" sourceName="Quantity">
  <pivotTables>
    <pivotTable tabId="7" name="PivotTable2"/>
    <pivotTable tabId="7" name="PivotTable3"/>
    <pivotTable tabId="7" name="PivotTable4"/>
    <pivotTable tabId="7" name="PivotTable5"/>
    <pivotTable tabId="7" name="PivotTable6"/>
  </pivotTables>
  <data>
    <tabular pivotCacheId="2051481670">
      <items count="5">
        <i x="3" s="1"/>
        <i x="2" s="1"/>
        <i x="0"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934DB3-B075-4528-9616-588D59807C26}" sourceName="Region">
  <pivotTables>
    <pivotTable tabId="7" name="PivotTable2"/>
    <pivotTable tabId="7" name="PivotTable3"/>
    <pivotTable tabId="7" name="PivotTable4"/>
    <pivotTable tabId="7" name="PivotTable5"/>
    <pivotTable tabId="7" name="PivotTable6"/>
  </pivotTables>
  <data>
    <tabular pivotCacheId="205148167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76FA76B5-C87B-4E98-BB26-78A99467419F}" cache="Slicer_Customer_Name" caption="Customer_Name" startItem="22" columnCount="2" style="SlicerStyleLight3" rowHeight="234950"/>
  <slicer name="Product_Name 1" xr10:uid="{FDE8D156-25F6-4AC8-BD92-1436B246AFFF}" cache="Slicer_Product_Name" caption="Product_Name" columnCount="3" style="SlicerStyleLight3" rowHeight="234950"/>
  <slicer name="Category 1" xr10:uid="{2FE9271F-C650-4093-AFF8-56540B5A6841}" cache="Slicer_Category" caption="Category" columnCount="3" style="SlicerStyleLight3" rowHeight="234950"/>
  <slicer name="Quantity 1" xr10:uid="{BDB28762-648A-4E28-8C77-7D8569C5D772}" cache="Slicer_Quantity" caption="Quantity" columnCount="5" style="SlicerStyleLight3" rowHeight="234950"/>
  <slicer name="Region 1" xr10:uid="{1F7B3DB5-D62D-447A-9414-A35DCE6EE7E4}" cache="Slicer_Region" caption="Region" columnCount="2"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1A407161-E415-410F-828C-5621F4E732DF}" cache="Slicer_Customer_Name" caption="Customer_Name" startItem="34" rowHeight="234950"/>
  <slicer name="Product_Name" xr10:uid="{ECED8F87-9679-4276-91B0-95003435B78B}" cache="Slicer_Product_Name" caption="Product_Name" rowHeight="234950"/>
  <slicer name="Category" xr10:uid="{E2B0AF07-1997-447C-AA49-04987B41CC61}" cache="Slicer_Category" caption="Category" rowHeight="234950"/>
  <slicer name="Quantity" xr10:uid="{2A1BF093-39C4-42A4-AA0B-3DC15B766CF3}" cache="Slicer_Quantity" caption="Quantity" rowHeight="234950"/>
  <slicer name="Region" xr10:uid="{7CB880B5-874E-4B76-A2E2-BBD83CAAF76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2E4090-A488-404F-A9E6-F0F4E49D5A31}" name="cust" displayName="cust" ref="A1:N251" totalsRowShown="0" headerRowDxfId="15" dataDxfId="14">
  <autoFilter ref="A1:N251" xr:uid="{F12E4090-A488-404F-A9E6-F0F4E49D5A31}"/>
  <tableColumns count="14">
    <tableColumn id="1" xr3:uid="{497B6F9F-A284-4CE6-9FB7-CD7D6DA399C8}" name="Transaction_ID" dataDxfId="13"/>
    <tableColumn id="2" xr3:uid="{4FE44EBC-4717-46D8-BEB8-7FB117C7F41D}" name="Date" dataDxfId="12"/>
    <tableColumn id="3" xr3:uid="{B37B201C-08A7-4C5D-97DD-689C38849A92}" name="Customer_ID" dataDxfId="11"/>
    <tableColumn id="4" xr3:uid="{575CF40F-789C-4500-8DAD-47EC2F886925}" name="Customer_Name" dataDxfId="10"/>
    <tableColumn id="5" xr3:uid="{8C727EEE-CE0E-46CC-A3C9-3AC0305FB555}" name="Product_ID" dataDxfId="9"/>
    <tableColumn id="6" xr3:uid="{51265D89-A9CC-47A8-B3D7-154AD4F807EA}" name="Product_Name" dataDxfId="8"/>
    <tableColumn id="7" xr3:uid="{632688D4-4265-46C6-9706-D95AA2C3D637}" name="Category" dataDxfId="7"/>
    <tableColumn id="8" xr3:uid="{9FBC427D-DEC9-4A3D-8B47-86901CDB7397}" name="Quantity" dataDxfId="6"/>
    <tableColumn id="9" xr3:uid="{921931F1-FC6F-4B0A-9191-1501703E375B}" name="Unit_Price" dataDxfId="5"/>
    <tableColumn id="10" xr3:uid="{D6088695-A50C-44BA-AB57-7ABAD7C6273A}" name="Payment_Method" dataDxfId="4"/>
    <tableColumn id="11" xr3:uid="{093335C0-4C3E-4EDD-A0CE-A52415A6BC84}" name="Region" dataDxfId="3"/>
    <tableColumn id="12" xr3:uid="{FB50E9FB-0316-409C-8722-5ECD327DB663}" name="Customer_Segment" dataDxfId="2"/>
    <tableColumn id="13" xr3:uid="{A16C3BF0-663F-44F9-88DC-6E24CB12DBB7}" name="Customer_Since" dataDxfId="1"/>
    <tableColumn id="14" xr3:uid="{5E737CD3-01B2-4CD2-9830-664ADDA79C78}" name="Total_Amount"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C8F800-1121-4DA5-BA61-7F3944C8C423}" name="tblSales" displayName="tblSales" ref="A1:N251" totalsRowShown="0">
  <autoFilter ref="A1:N251" xr:uid="{94C8F800-1121-4DA5-BA61-7F3944C8C423}"/>
  <tableColumns count="14">
    <tableColumn id="1" xr3:uid="{2591B5AB-A814-4668-BBD6-5C16DA9873DF}" name="Transaction_ID"/>
    <tableColumn id="2" xr3:uid="{56D8B232-1FB5-46CC-94E8-6F301A372A5D}" name="Date" dataDxfId="17"/>
    <tableColumn id="3" xr3:uid="{D0E20008-53F8-4204-8376-6CDB2DEA18E0}" name="Customer_ID"/>
    <tableColumn id="4" xr3:uid="{02F04DA5-5571-482B-AAB4-38483D3CAB46}" name="Customer_Name"/>
    <tableColumn id="5" xr3:uid="{32E726A1-8CB1-415D-92D7-EC1D0FED3C89}" name="Product_ID"/>
    <tableColumn id="6" xr3:uid="{1711531D-F6F3-4F99-A445-559898B3F412}" name="Product_Name"/>
    <tableColumn id="7" xr3:uid="{10A670FD-DC0C-4288-9423-C47B96354C2A}" name="Category"/>
    <tableColumn id="8" xr3:uid="{49669359-00A6-46EA-AE34-B93F72F95F43}" name="Quantity"/>
    <tableColumn id="9" xr3:uid="{12495284-C2CF-4C1F-8A8B-6CF16118C3E2}" name="Unit_Price"/>
    <tableColumn id="10" xr3:uid="{92A53DFA-0564-40C5-B098-98DE4B6A027B}" name="Payment_Method"/>
    <tableColumn id="11" xr3:uid="{27E7A328-4A91-479D-AE11-EDB9076948BF}" name="Region"/>
    <tableColumn id="12" xr3:uid="{F4D94419-59D7-460D-A285-E4C1CD3FABAD}" name="Customer_Segment"/>
    <tableColumn id="13" xr3:uid="{88F0D681-ED31-4243-9E8F-17B9691D2FD1}" name="Customer_Since" dataDxfId="16"/>
    <tableColumn id="14" xr3:uid="{5FBFE493-6567-4DF6-BF42-29E7E8A3A578}" name="Total_Amoun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40F1B6-69EB-415C-9BEC-F5C4FB758A0E}" sourceName="Date">
  <state minimalRefreshVersion="6" lastRefreshVersion="6" pivotCacheId="205148167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6201F26-C378-4E63-9C98-29F9E873BF2D}"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C5B89EA-A424-4029-B761-18590100FBD0}" cache="NativeTimeline_Date" caption="Date" level="2" selectionLevel="2"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A2" zoomScaleNormal="100" workbookViewId="0">
      <selection activeCell="A2" sqref="A2"/>
    </sheetView>
  </sheetViews>
  <sheetFormatPr defaultColWidth="14.44140625" defaultRowHeight="15" customHeight="1"/>
  <cols>
    <col min="1" max="1" width="103.77734375" customWidth="1"/>
    <col min="2" max="25" width="8.6640625" customWidth="1"/>
  </cols>
  <sheetData>
    <row r="1" spans="1:25" ht="14.4">
      <c r="A1" s="1" t="s">
        <v>0</v>
      </c>
      <c r="B1" s="2"/>
      <c r="C1" s="2"/>
      <c r="D1" s="2"/>
      <c r="E1" s="2"/>
      <c r="F1" s="2"/>
      <c r="G1" s="2"/>
      <c r="H1" s="2"/>
      <c r="I1" s="2"/>
      <c r="J1" s="2"/>
      <c r="K1" s="2"/>
      <c r="L1" s="2"/>
      <c r="M1" s="2"/>
      <c r="N1" s="2"/>
      <c r="O1" s="2"/>
      <c r="P1" s="2"/>
      <c r="Q1" s="2"/>
      <c r="R1" s="2"/>
      <c r="S1" s="2"/>
      <c r="T1" s="2"/>
      <c r="U1" s="2"/>
      <c r="V1" s="2"/>
      <c r="W1" s="2"/>
      <c r="X1" s="2"/>
      <c r="Y1" s="2"/>
    </row>
    <row r="2" spans="1:25" ht="408.6" customHeight="1">
      <c r="A2" s="6" t="s">
        <v>1</v>
      </c>
      <c r="B2" s="2"/>
      <c r="C2" s="2"/>
      <c r="D2" s="2"/>
      <c r="E2" s="2"/>
      <c r="F2" s="2"/>
      <c r="G2" s="2"/>
      <c r="H2" s="2"/>
      <c r="I2" s="2"/>
      <c r="J2" s="2"/>
      <c r="K2" s="2"/>
      <c r="L2" s="2"/>
      <c r="M2" s="2"/>
      <c r="N2" s="2"/>
      <c r="O2" s="2"/>
      <c r="P2" s="2"/>
      <c r="Q2" s="2"/>
      <c r="R2" s="2"/>
      <c r="S2" s="2"/>
      <c r="T2" s="2"/>
      <c r="U2" s="2"/>
      <c r="V2" s="2"/>
      <c r="W2" s="2"/>
      <c r="X2" s="2"/>
      <c r="Y2" s="2"/>
    </row>
    <row r="3" spans="1:25" ht="14.4">
      <c r="A3" s="2"/>
      <c r="B3" s="2"/>
      <c r="C3" s="2"/>
      <c r="D3" s="2"/>
      <c r="E3" s="2"/>
      <c r="F3" s="2"/>
      <c r="G3" s="2"/>
      <c r="H3" s="2"/>
      <c r="I3" s="2"/>
      <c r="J3" s="2"/>
      <c r="K3" s="2"/>
      <c r="L3" s="2"/>
      <c r="M3" s="2"/>
      <c r="N3" s="2"/>
      <c r="O3" s="2"/>
      <c r="P3" s="2"/>
      <c r="Q3" s="2"/>
      <c r="R3" s="2"/>
      <c r="S3" s="2"/>
      <c r="T3" s="2"/>
      <c r="U3" s="2"/>
      <c r="V3" s="2"/>
      <c r="W3" s="2"/>
      <c r="X3" s="2"/>
      <c r="Y3" s="2"/>
    </row>
    <row r="4" spans="1:25" ht="14.4">
      <c r="A4" s="2"/>
      <c r="B4" s="2"/>
      <c r="C4" s="2"/>
      <c r="D4" s="2"/>
      <c r="E4" s="2"/>
      <c r="F4" s="2"/>
      <c r="G4" s="2"/>
      <c r="H4" s="2"/>
      <c r="I4" s="2"/>
      <c r="J4" s="2"/>
      <c r="K4" s="2"/>
      <c r="L4" s="2"/>
      <c r="M4" s="2"/>
      <c r="N4" s="2"/>
      <c r="O4" s="2"/>
      <c r="P4" s="2"/>
      <c r="Q4" s="2"/>
      <c r="R4" s="2"/>
      <c r="S4" s="2"/>
      <c r="T4" s="2"/>
      <c r="U4" s="2"/>
      <c r="V4" s="2"/>
      <c r="W4" s="2"/>
      <c r="X4" s="2"/>
      <c r="Y4" s="2"/>
    </row>
    <row r="5" spans="1:25" ht="14.4">
      <c r="A5" s="2"/>
      <c r="B5" s="2"/>
      <c r="C5" s="2"/>
      <c r="D5" s="2"/>
      <c r="E5" s="2"/>
      <c r="F5" s="2"/>
      <c r="G5" s="2"/>
      <c r="H5" s="2"/>
      <c r="I5" s="2"/>
      <c r="J5" s="2"/>
      <c r="K5" s="2"/>
      <c r="L5" s="2"/>
      <c r="M5" s="2"/>
      <c r="N5" s="2"/>
      <c r="O5" s="2"/>
      <c r="P5" s="2"/>
      <c r="Q5" s="2"/>
      <c r="R5" s="2"/>
      <c r="S5" s="2"/>
      <c r="T5" s="2"/>
      <c r="U5" s="2"/>
      <c r="V5" s="2"/>
      <c r="W5" s="2"/>
      <c r="X5" s="2"/>
      <c r="Y5" s="2"/>
    </row>
    <row r="6" spans="1:25" ht="14.4">
      <c r="A6" s="2"/>
      <c r="B6" s="2"/>
      <c r="C6" s="2"/>
      <c r="D6" s="2"/>
      <c r="E6" s="2"/>
      <c r="F6" s="2"/>
      <c r="G6" s="2"/>
      <c r="H6" s="2"/>
      <c r="I6" s="2"/>
      <c r="J6" s="2"/>
      <c r="K6" s="2"/>
      <c r="L6" s="2"/>
      <c r="M6" s="2"/>
      <c r="N6" s="2"/>
      <c r="O6" s="2"/>
      <c r="P6" s="2"/>
      <c r="Q6" s="2"/>
      <c r="R6" s="2"/>
      <c r="S6" s="2"/>
      <c r="T6" s="2"/>
      <c r="U6" s="2"/>
      <c r="V6" s="2"/>
      <c r="W6" s="2"/>
      <c r="X6" s="2"/>
      <c r="Y6" s="2"/>
    </row>
    <row r="7" spans="1:25" ht="14.4">
      <c r="A7" s="2"/>
      <c r="B7" s="2"/>
      <c r="C7" s="2"/>
      <c r="D7" s="2"/>
      <c r="E7" s="2"/>
      <c r="F7" s="2"/>
      <c r="G7" s="2"/>
      <c r="H7" s="2"/>
      <c r="I7" s="2"/>
      <c r="J7" s="2"/>
      <c r="K7" s="2"/>
      <c r="L7" s="2"/>
      <c r="M7" s="2"/>
      <c r="N7" s="2"/>
      <c r="O7" s="2"/>
      <c r="P7" s="2"/>
      <c r="Q7" s="2"/>
      <c r="R7" s="2"/>
      <c r="S7" s="2"/>
      <c r="T7" s="2"/>
      <c r="U7" s="2"/>
      <c r="V7" s="2"/>
      <c r="W7" s="2"/>
      <c r="X7" s="2"/>
      <c r="Y7" s="2"/>
    </row>
    <row r="8" spans="1:25" ht="14.4">
      <c r="A8" s="2"/>
      <c r="B8" s="2"/>
      <c r="C8" s="2"/>
      <c r="D8" s="2"/>
      <c r="E8" s="2"/>
      <c r="F8" s="2"/>
      <c r="G8" s="2"/>
      <c r="H8" s="2"/>
      <c r="I8" s="2"/>
      <c r="J8" s="2"/>
      <c r="K8" s="2"/>
      <c r="L8" s="2"/>
      <c r="M8" s="2"/>
      <c r="N8" s="2"/>
      <c r="O8" s="2"/>
      <c r="P8" s="2"/>
      <c r="Q8" s="2"/>
      <c r="R8" s="2"/>
      <c r="S8" s="2"/>
      <c r="T8" s="2"/>
      <c r="U8" s="2"/>
      <c r="V8" s="2"/>
      <c r="W8" s="2"/>
      <c r="X8" s="2"/>
      <c r="Y8" s="2"/>
    </row>
    <row r="9" spans="1:25" ht="14.4">
      <c r="A9" s="2"/>
      <c r="B9" s="2"/>
      <c r="C9" s="2"/>
      <c r="D9" s="2"/>
      <c r="E9" s="2"/>
      <c r="F9" s="2"/>
      <c r="G9" s="2"/>
      <c r="H9" s="2"/>
      <c r="I9" s="2"/>
      <c r="J9" s="2"/>
      <c r="K9" s="2"/>
      <c r="L9" s="2"/>
      <c r="M9" s="2"/>
      <c r="N9" s="2"/>
      <c r="O9" s="2"/>
      <c r="P9" s="2"/>
      <c r="Q9" s="2"/>
      <c r="R9" s="2"/>
      <c r="S9" s="2"/>
      <c r="T9" s="2"/>
      <c r="U9" s="2"/>
      <c r="V9" s="2"/>
      <c r="W9" s="2"/>
      <c r="X9" s="2"/>
      <c r="Y9" s="2"/>
    </row>
    <row r="10" spans="1:25" ht="14.4">
      <c r="A10" s="2"/>
      <c r="B10" s="2"/>
      <c r="C10" s="2"/>
      <c r="D10" s="2"/>
      <c r="E10" s="2"/>
      <c r="F10" s="2"/>
      <c r="G10" s="2"/>
      <c r="H10" s="2"/>
      <c r="I10" s="2"/>
      <c r="J10" s="2"/>
      <c r="K10" s="2"/>
      <c r="L10" s="2"/>
      <c r="M10" s="2"/>
      <c r="N10" s="2"/>
      <c r="O10" s="2"/>
      <c r="P10" s="2"/>
      <c r="Q10" s="2"/>
      <c r="R10" s="2"/>
      <c r="S10" s="2"/>
      <c r="T10" s="2"/>
      <c r="U10" s="2"/>
      <c r="V10" s="2"/>
      <c r="W10" s="2"/>
      <c r="X10" s="2"/>
      <c r="Y10" s="2"/>
    </row>
    <row r="11" spans="1:25" ht="14.4">
      <c r="A11" s="2"/>
      <c r="B11" s="2"/>
      <c r="C11" s="2"/>
      <c r="D11" s="2"/>
      <c r="E11" s="2"/>
      <c r="F11" s="2"/>
      <c r="G11" s="2"/>
      <c r="H11" s="2"/>
      <c r="I11" s="2"/>
      <c r="J11" s="2"/>
      <c r="K11" s="2"/>
      <c r="L11" s="2"/>
      <c r="M11" s="2"/>
      <c r="N11" s="2"/>
      <c r="O11" s="2"/>
      <c r="P11" s="2"/>
      <c r="Q11" s="2"/>
      <c r="R11" s="2"/>
      <c r="S11" s="2"/>
      <c r="T11" s="2"/>
      <c r="U11" s="2"/>
      <c r="V11" s="2"/>
      <c r="W11" s="2"/>
      <c r="X11" s="2"/>
      <c r="Y11" s="2"/>
    </row>
    <row r="12" spans="1:25" ht="14.4">
      <c r="A12" s="2"/>
      <c r="B12" s="2"/>
      <c r="C12" s="2"/>
      <c r="D12" s="2"/>
      <c r="E12" s="2"/>
      <c r="F12" s="2"/>
      <c r="G12" s="2"/>
      <c r="H12" s="2"/>
      <c r="I12" s="2"/>
      <c r="J12" s="2"/>
      <c r="K12" s="2"/>
      <c r="L12" s="2"/>
      <c r="M12" s="2"/>
      <c r="N12" s="2"/>
      <c r="O12" s="2"/>
      <c r="P12" s="2"/>
      <c r="Q12" s="2"/>
      <c r="R12" s="2"/>
      <c r="S12" s="2"/>
      <c r="T12" s="2"/>
      <c r="U12" s="2"/>
      <c r="V12" s="2"/>
      <c r="W12" s="2"/>
      <c r="X12" s="2"/>
      <c r="Y12" s="2"/>
    </row>
    <row r="13" spans="1:25" ht="14.4">
      <c r="A13" s="2"/>
      <c r="B13" s="2"/>
      <c r="C13" s="2"/>
      <c r="D13" s="2"/>
      <c r="E13" s="2"/>
      <c r="F13" s="2"/>
      <c r="G13" s="2"/>
      <c r="H13" s="2"/>
      <c r="I13" s="2"/>
      <c r="J13" s="2"/>
      <c r="K13" s="2"/>
      <c r="L13" s="2"/>
      <c r="M13" s="2"/>
      <c r="N13" s="2"/>
      <c r="O13" s="2"/>
      <c r="P13" s="2"/>
      <c r="Q13" s="2"/>
      <c r="R13" s="2"/>
      <c r="S13" s="2"/>
      <c r="T13" s="2"/>
      <c r="U13" s="2"/>
      <c r="V13" s="2"/>
      <c r="W13" s="2"/>
      <c r="X13" s="2"/>
      <c r="Y13" s="2"/>
    </row>
    <row r="14" spans="1:25" ht="14.4">
      <c r="A14" s="5"/>
      <c r="B14" s="2"/>
      <c r="C14" s="2"/>
      <c r="D14" s="2"/>
      <c r="E14" s="2"/>
      <c r="F14" s="2"/>
      <c r="G14" s="2"/>
      <c r="H14" s="2"/>
      <c r="I14" s="2"/>
      <c r="J14" s="2"/>
      <c r="K14" s="2"/>
      <c r="L14" s="2"/>
      <c r="M14" s="2"/>
      <c r="N14" s="2"/>
      <c r="O14" s="2"/>
      <c r="P14" s="2"/>
      <c r="Q14" s="2"/>
      <c r="R14" s="2"/>
      <c r="S14" s="2"/>
      <c r="T14" s="2"/>
      <c r="U14" s="2"/>
      <c r="V14" s="2"/>
      <c r="W14" s="2"/>
      <c r="X14" s="2"/>
      <c r="Y14" s="2"/>
    </row>
    <row r="15" spans="1:25" ht="14.4">
      <c r="A15" s="2"/>
      <c r="B15" s="2"/>
      <c r="C15" s="2"/>
      <c r="D15" s="2"/>
      <c r="E15" s="2"/>
      <c r="F15" s="2"/>
      <c r="G15" s="2"/>
      <c r="H15" s="2"/>
      <c r="I15" s="2"/>
      <c r="J15" s="2"/>
      <c r="K15" s="2"/>
      <c r="L15" s="2"/>
      <c r="M15" s="2"/>
      <c r="N15" s="2"/>
      <c r="O15" s="2"/>
      <c r="P15" s="2"/>
      <c r="Q15" s="2"/>
      <c r="R15" s="2"/>
      <c r="S15" s="2"/>
      <c r="T15" s="2"/>
      <c r="U15" s="2"/>
      <c r="V15" s="2"/>
      <c r="W15" s="2"/>
      <c r="X15" s="2"/>
      <c r="Y15" s="2"/>
    </row>
    <row r="16" spans="1:25" ht="14.4">
      <c r="A16" s="2"/>
      <c r="B16" s="2"/>
      <c r="C16" s="2"/>
      <c r="D16" s="2"/>
      <c r="E16" s="2"/>
      <c r="F16" s="2"/>
      <c r="G16" s="2"/>
      <c r="H16" s="2"/>
      <c r="I16" s="2"/>
      <c r="J16" s="2"/>
      <c r="K16" s="2"/>
      <c r="L16" s="2"/>
      <c r="M16" s="2"/>
      <c r="N16" s="2"/>
      <c r="O16" s="2"/>
      <c r="P16" s="2"/>
      <c r="Q16" s="2"/>
      <c r="R16" s="2"/>
      <c r="S16" s="2"/>
      <c r="T16" s="2"/>
      <c r="U16" s="2"/>
      <c r="V16" s="2"/>
      <c r="W16" s="2"/>
      <c r="X16" s="2"/>
      <c r="Y16" s="2"/>
    </row>
    <row r="17" spans="1:25" ht="14.4">
      <c r="A17" s="2"/>
      <c r="B17" s="2"/>
      <c r="C17" s="2"/>
      <c r="D17" s="2"/>
      <c r="E17" s="2"/>
      <c r="F17" s="2"/>
      <c r="G17" s="2"/>
      <c r="H17" s="2"/>
      <c r="I17" s="2"/>
      <c r="J17" s="2"/>
      <c r="K17" s="2"/>
      <c r="L17" s="2"/>
      <c r="M17" s="2"/>
      <c r="N17" s="2"/>
      <c r="O17" s="2"/>
      <c r="P17" s="2"/>
      <c r="Q17" s="2"/>
      <c r="R17" s="2"/>
      <c r="S17" s="2"/>
      <c r="T17" s="2"/>
      <c r="U17" s="2"/>
      <c r="V17" s="2"/>
      <c r="W17" s="2"/>
      <c r="X17" s="2"/>
      <c r="Y17" s="2"/>
    </row>
    <row r="18" spans="1:25" ht="14.4">
      <c r="A18" s="2"/>
      <c r="B18" s="2"/>
      <c r="C18" s="2"/>
      <c r="D18" s="2"/>
      <c r="E18" s="2"/>
      <c r="F18" s="2"/>
      <c r="G18" s="2"/>
      <c r="H18" s="2"/>
      <c r="I18" s="2"/>
      <c r="J18" s="2"/>
      <c r="K18" s="2"/>
      <c r="L18" s="2"/>
      <c r="M18" s="2"/>
      <c r="N18" s="2"/>
      <c r="O18" s="2"/>
      <c r="P18" s="2"/>
      <c r="Q18" s="2"/>
      <c r="R18" s="2"/>
      <c r="S18" s="2"/>
      <c r="T18" s="2"/>
      <c r="U18" s="2"/>
      <c r="V18" s="2"/>
      <c r="W18" s="2"/>
      <c r="X18" s="2"/>
      <c r="Y18" s="2"/>
    </row>
    <row r="19" spans="1:25" ht="14.4">
      <c r="A19" s="2"/>
      <c r="B19" s="2"/>
      <c r="C19" s="2"/>
      <c r="D19" s="2"/>
      <c r="E19" s="2"/>
      <c r="F19" s="2"/>
      <c r="G19" s="2"/>
      <c r="H19" s="2"/>
      <c r="I19" s="2"/>
      <c r="J19" s="2"/>
      <c r="K19" s="2"/>
      <c r="L19" s="2"/>
      <c r="M19" s="2"/>
      <c r="N19" s="2"/>
      <c r="O19" s="2"/>
      <c r="P19" s="2"/>
      <c r="Q19" s="2"/>
      <c r="R19" s="2"/>
      <c r="S19" s="2"/>
      <c r="T19" s="2"/>
      <c r="U19" s="2"/>
      <c r="V19" s="2"/>
      <c r="W19" s="2"/>
      <c r="X19" s="2"/>
      <c r="Y19" s="2"/>
    </row>
    <row r="20" spans="1:25" ht="14.4">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BD14-7726-46D3-AB2A-A74BF8EF04B6}">
  <dimension ref="A5:L60"/>
  <sheetViews>
    <sheetView showGridLines="0" topLeftCell="A48" zoomScale="75" zoomScaleNormal="83" workbookViewId="0">
      <selection activeCell="V29" sqref="V29"/>
    </sheetView>
  </sheetViews>
  <sheetFormatPr defaultRowHeight="14.4"/>
  <cols>
    <col min="1" max="1" width="11.77734375" customWidth="1"/>
    <col min="2" max="2" width="16.6640625" bestFit="1" customWidth="1"/>
    <col min="3" max="3" width="19" customWidth="1"/>
    <col min="5" max="5" width="13.88671875" customWidth="1"/>
    <col min="6" max="6" width="20.44140625" customWidth="1"/>
    <col min="8" max="8" width="16.6640625" customWidth="1"/>
    <col min="9" max="9" width="16.88671875" customWidth="1"/>
    <col min="11" max="11" width="16" customWidth="1"/>
    <col min="12" max="12" width="17.6640625" customWidth="1"/>
  </cols>
  <sheetData>
    <row r="5" spans="2:12" ht="15" thickBot="1"/>
    <row r="6" spans="2:12" ht="51.6" customHeight="1" thickBot="1">
      <c r="B6" s="42" t="s">
        <v>421</v>
      </c>
      <c r="C6" s="43"/>
      <c r="D6" s="15"/>
      <c r="E6" s="42" t="s">
        <v>422</v>
      </c>
      <c r="F6" s="43"/>
      <c r="G6" s="15"/>
      <c r="H6" s="42" t="s">
        <v>423</v>
      </c>
      <c r="I6" s="43"/>
      <c r="J6" s="15"/>
      <c r="K6" s="42" t="s">
        <v>424</v>
      </c>
      <c r="L6" s="43"/>
    </row>
    <row r="7" spans="2:12" ht="26.4" thickBot="1">
      <c r="B7" s="44">
        <f>GETPIVOTDATA("Total_Amount",Visualizations!$A$3)</f>
        <v>229192.46999999997</v>
      </c>
      <c r="C7" s="45"/>
      <c r="E7" s="44">
        <f>GETPIVOTDATA("Quantity",Visualizations!$G$2)</f>
        <v>250</v>
      </c>
      <c r="F7" s="45"/>
      <c r="H7" s="44">
        <f>GETPIVOTDATA("Total_Amount",Visualizations!$J$1,"Region","East")</f>
        <v>59288.389999999992</v>
      </c>
      <c r="I7" s="45"/>
      <c r="K7" s="44" t="str">
        <f>Visualizations!A4</f>
        <v>Mark Carter</v>
      </c>
      <c r="L7" s="45"/>
    </row>
    <row r="10" spans="2:12" ht="28.2" customHeight="1"/>
    <row r="11" spans="2:12" ht="28.2" customHeight="1"/>
    <row r="49" spans="1:1" ht="18">
      <c r="A49" s="60" t="s">
        <v>470</v>
      </c>
    </row>
    <row r="50" spans="1:1">
      <c r="A50" s="57"/>
    </row>
    <row r="51" spans="1:1">
      <c r="A51" s="61" t="s">
        <v>461</v>
      </c>
    </row>
    <row r="52" spans="1:1">
      <c r="A52" s="62" t="s">
        <v>462</v>
      </c>
    </row>
    <row r="53" spans="1:1">
      <c r="A53" s="57" t="s">
        <v>463</v>
      </c>
    </row>
    <row r="54" spans="1:1">
      <c r="A54" s="59" t="s">
        <v>464</v>
      </c>
    </row>
    <row r="55" spans="1:1">
      <c r="A55" s="59" t="s">
        <v>465</v>
      </c>
    </row>
    <row r="56" spans="1:1">
      <c r="A56" s="57" t="s">
        <v>466</v>
      </c>
    </row>
    <row r="57" spans="1:1">
      <c r="A57" s="57" t="s">
        <v>467</v>
      </c>
    </row>
    <row r="59" spans="1:1">
      <c r="A59" s="58" t="s">
        <v>468</v>
      </c>
    </row>
    <row r="60" spans="1:1">
      <c r="A60" t="s">
        <v>469</v>
      </c>
    </row>
  </sheetData>
  <mergeCells count="8">
    <mergeCell ref="K6:L6"/>
    <mergeCell ref="K7:L7"/>
    <mergeCell ref="B6:C6"/>
    <mergeCell ref="B7:C7"/>
    <mergeCell ref="E6:F6"/>
    <mergeCell ref="E7:F7"/>
    <mergeCell ref="H6:I6"/>
    <mergeCell ref="H7:I7"/>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1085AF9F-464D-49D3-AAD2-5B85C3846D7C}">
            <x14:iconSet iconSet="3Triangles">
              <x14:cfvo type="percent">
                <xm:f>0</xm:f>
              </x14:cfvo>
              <x14:cfvo type="percent">
                <xm:f>33</xm:f>
              </x14:cfvo>
              <x14:cfvo type="percent">
                <xm:f>67</xm:f>
              </x14:cfvo>
            </x14:iconSet>
          </x14:cfRule>
          <xm:sqref>B7:C7</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I1" zoomScaleNormal="100" workbookViewId="0">
      <selection activeCell="H11" sqref="H11"/>
    </sheetView>
  </sheetViews>
  <sheetFormatPr defaultColWidth="14.44140625" defaultRowHeight="15" customHeight="1"/>
  <cols>
    <col min="1" max="1" width="15.44140625" customWidth="1"/>
    <col min="2" max="2" width="10.88671875" style="7"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style="7" customWidth="1"/>
    <col min="14" max="14" width="15" customWidth="1"/>
    <col min="15" max="26" width="8.6640625" customWidth="1"/>
  </cols>
  <sheetData>
    <row r="1" spans="1:26" ht="14.4">
      <c r="A1" s="3" t="s">
        <v>2</v>
      </c>
      <c r="B1" s="21" t="s">
        <v>3</v>
      </c>
      <c r="C1" s="3" t="s">
        <v>4</v>
      </c>
      <c r="D1" s="3" t="s">
        <v>5</v>
      </c>
      <c r="E1" s="3" t="s">
        <v>6</v>
      </c>
      <c r="F1" s="3" t="s">
        <v>7</v>
      </c>
      <c r="G1" s="3" t="s">
        <v>8</v>
      </c>
      <c r="H1" s="3" t="s">
        <v>9</v>
      </c>
      <c r="I1" s="3" t="s">
        <v>10</v>
      </c>
      <c r="J1" s="3" t="s">
        <v>11</v>
      </c>
      <c r="K1" s="3" t="s">
        <v>12</v>
      </c>
      <c r="L1" s="3" t="s">
        <v>13</v>
      </c>
      <c r="M1" s="21" t="s">
        <v>14</v>
      </c>
      <c r="N1" s="3" t="s">
        <v>15</v>
      </c>
      <c r="O1" s="3"/>
      <c r="P1" s="3"/>
      <c r="Q1" s="3"/>
      <c r="R1" s="3"/>
      <c r="S1" s="3"/>
      <c r="T1" s="3"/>
      <c r="U1" s="3"/>
      <c r="V1" s="3"/>
      <c r="W1" s="3"/>
      <c r="X1" s="3"/>
      <c r="Y1" s="3"/>
      <c r="Z1" s="3"/>
    </row>
    <row r="2" spans="1:26" ht="14.4">
      <c r="A2" s="4" t="s">
        <v>16</v>
      </c>
      <c r="B2" s="22">
        <v>45393</v>
      </c>
      <c r="C2" s="4" t="s">
        <v>17</v>
      </c>
      <c r="D2" s="4" t="s">
        <v>18</v>
      </c>
      <c r="E2" s="4" t="s">
        <v>19</v>
      </c>
      <c r="F2" s="4" t="s">
        <v>20</v>
      </c>
      <c r="G2" s="4" t="s">
        <v>21</v>
      </c>
      <c r="H2" s="4">
        <v>3</v>
      </c>
      <c r="I2" s="4">
        <v>249.99</v>
      </c>
      <c r="J2" s="4" t="s">
        <v>22</v>
      </c>
      <c r="K2" s="4" t="s">
        <v>23</v>
      </c>
      <c r="L2" s="4" t="s">
        <v>24</v>
      </c>
      <c r="M2" s="22">
        <v>44425</v>
      </c>
      <c r="N2" s="4">
        <v>749.97</v>
      </c>
    </row>
    <row r="3" spans="1:26" ht="14.4">
      <c r="A3" s="4" t="s">
        <v>25</v>
      </c>
      <c r="B3" s="22">
        <v>45396</v>
      </c>
      <c r="C3" s="4" t="s">
        <v>26</v>
      </c>
      <c r="D3" s="4" t="s">
        <v>27</v>
      </c>
      <c r="E3" s="4" t="s">
        <v>19</v>
      </c>
      <c r="F3" s="4" t="s">
        <v>20</v>
      </c>
      <c r="G3" s="4" t="s">
        <v>21</v>
      </c>
      <c r="H3" s="4">
        <v>3</v>
      </c>
      <c r="I3" s="4">
        <v>249.99</v>
      </c>
      <c r="J3" s="4" t="s">
        <v>28</v>
      </c>
      <c r="K3" s="4" t="s">
        <v>23</v>
      </c>
      <c r="L3" s="4" t="s">
        <v>29</v>
      </c>
      <c r="M3" s="22">
        <v>44575</v>
      </c>
      <c r="N3" s="4">
        <v>749.97</v>
      </c>
    </row>
    <row r="4" spans="1:26" ht="14.4">
      <c r="A4" s="4" t="s">
        <v>30</v>
      </c>
      <c r="B4" s="22">
        <v>45399</v>
      </c>
      <c r="C4" s="4" t="s">
        <v>31</v>
      </c>
      <c r="D4" s="4" t="s">
        <v>32</v>
      </c>
      <c r="E4" s="4" t="s">
        <v>33</v>
      </c>
      <c r="F4" s="4" t="s">
        <v>34</v>
      </c>
      <c r="G4" s="4" t="s">
        <v>35</v>
      </c>
      <c r="H4" s="4">
        <v>3</v>
      </c>
      <c r="I4" s="4">
        <v>59.99</v>
      </c>
      <c r="J4" s="4" t="s">
        <v>36</v>
      </c>
      <c r="K4" s="4" t="s">
        <v>37</v>
      </c>
      <c r="L4" s="4" t="s">
        <v>38</v>
      </c>
      <c r="M4" s="22">
        <v>45262</v>
      </c>
      <c r="N4" s="4">
        <v>179.97</v>
      </c>
    </row>
    <row r="5" spans="1:26" ht="14.4">
      <c r="A5" s="4" t="s">
        <v>39</v>
      </c>
      <c r="B5" s="22">
        <v>45400</v>
      </c>
      <c r="C5" s="4" t="s">
        <v>40</v>
      </c>
      <c r="D5" s="4" t="s">
        <v>41</v>
      </c>
      <c r="E5" s="4" t="s">
        <v>33</v>
      </c>
      <c r="F5" s="4" t="s">
        <v>34</v>
      </c>
      <c r="G5" s="4" t="s">
        <v>35</v>
      </c>
      <c r="H5" s="4">
        <v>3</v>
      </c>
      <c r="I5" s="4">
        <v>59.99</v>
      </c>
      <c r="J5" s="4" t="s">
        <v>22</v>
      </c>
      <c r="K5" s="4" t="s">
        <v>42</v>
      </c>
      <c r="L5" s="4" t="s">
        <v>29</v>
      </c>
      <c r="M5" s="22">
        <v>45114</v>
      </c>
      <c r="N5" s="4">
        <v>179.97</v>
      </c>
    </row>
    <row r="6" spans="1:26" ht="14.4">
      <c r="A6" s="4" t="s">
        <v>43</v>
      </c>
      <c r="B6" s="22">
        <v>45400</v>
      </c>
      <c r="C6" s="4" t="s">
        <v>44</v>
      </c>
      <c r="D6" s="4" t="s">
        <v>45</v>
      </c>
      <c r="E6" s="4" t="s">
        <v>46</v>
      </c>
      <c r="F6" s="4" t="s">
        <v>47</v>
      </c>
      <c r="G6" s="4" t="s">
        <v>48</v>
      </c>
      <c r="H6" s="4">
        <v>5</v>
      </c>
      <c r="I6" s="4">
        <v>149.99</v>
      </c>
      <c r="J6" s="4" t="s">
        <v>28</v>
      </c>
      <c r="K6" s="4" t="s">
        <v>42</v>
      </c>
      <c r="L6" s="4" t="s">
        <v>29</v>
      </c>
      <c r="M6" s="22">
        <v>45295</v>
      </c>
      <c r="N6" s="4">
        <v>749.95</v>
      </c>
    </row>
    <row r="7" spans="1:26" ht="14.4">
      <c r="A7" s="4" t="s">
        <v>49</v>
      </c>
      <c r="B7" s="22">
        <v>45403</v>
      </c>
      <c r="C7" s="4" t="s">
        <v>50</v>
      </c>
      <c r="D7" s="4" t="s">
        <v>51</v>
      </c>
      <c r="E7" s="4" t="s">
        <v>33</v>
      </c>
      <c r="F7" s="4" t="s">
        <v>34</v>
      </c>
      <c r="G7" s="4" t="s">
        <v>35</v>
      </c>
      <c r="H7" s="4">
        <v>2</v>
      </c>
      <c r="I7" s="4">
        <v>59.99</v>
      </c>
      <c r="J7" s="4" t="s">
        <v>22</v>
      </c>
      <c r="K7" s="4" t="s">
        <v>52</v>
      </c>
      <c r="L7" s="4" t="s">
        <v>38</v>
      </c>
      <c r="M7" s="22">
        <v>44746</v>
      </c>
      <c r="N7" s="4">
        <v>119.98</v>
      </c>
    </row>
    <row r="8" spans="1:26" ht="14.4">
      <c r="A8" s="4" t="s">
        <v>53</v>
      </c>
      <c r="B8" s="22">
        <v>45403</v>
      </c>
      <c r="C8" s="4" t="s">
        <v>50</v>
      </c>
      <c r="D8" s="4" t="s">
        <v>51</v>
      </c>
      <c r="E8" s="4" t="s">
        <v>54</v>
      </c>
      <c r="F8" s="4" t="s">
        <v>55</v>
      </c>
      <c r="G8" s="4" t="s">
        <v>21</v>
      </c>
      <c r="H8" s="4">
        <v>5</v>
      </c>
      <c r="I8" s="4">
        <v>149.99</v>
      </c>
      <c r="J8" s="4" t="s">
        <v>28</v>
      </c>
      <c r="K8" s="4" t="s">
        <v>23</v>
      </c>
      <c r="L8" s="4" t="s">
        <v>38</v>
      </c>
      <c r="M8" s="22">
        <v>44418</v>
      </c>
      <c r="N8" s="4">
        <v>749.95</v>
      </c>
    </row>
    <row r="9" spans="1:26" ht="14.4">
      <c r="A9" s="4" t="s">
        <v>56</v>
      </c>
      <c r="B9" s="22">
        <v>45403</v>
      </c>
      <c r="C9" s="4" t="s">
        <v>57</v>
      </c>
      <c r="D9" s="4" t="s">
        <v>58</v>
      </c>
      <c r="E9" s="4" t="s">
        <v>33</v>
      </c>
      <c r="F9" s="4" t="s">
        <v>34</v>
      </c>
      <c r="G9" s="4" t="s">
        <v>35</v>
      </c>
      <c r="H9" s="4">
        <v>3</v>
      </c>
      <c r="I9" s="4">
        <v>59.99</v>
      </c>
      <c r="J9" s="4" t="s">
        <v>59</v>
      </c>
      <c r="K9" s="4" t="s">
        <v>37</v>
      </c>
      <c r="L9" s="4" t="s">
        <v>24</v>
      </c>
      <c r="M9" s="22">
        <v>45007</v>
      </c>
      <c r="N9" s="4">
        <v>179.97</v>
      </c>
    </row>
    <row r="10" spans="1:26" ht="14.4">
      <c r="A10" s="4" t="s">
        <v>60</v>
      </c>
      <c r="B10" s="22">
        <v>45405</v>
      </c>
      <c r="C10" s="4" t="s">
        <v>61</v>
      </c>
      <c r="D10" s="4" t="s">
        <v>62</v>
      </c>
      <c r="E10" s="4" t="s">
        <v>63</v>
      </c>
      <c r="F10" s="4" t="s">
        <v>64</v>
      </c>
      <c r="G10" s="4" t="s">
        <v>21</v>
      </c>
      <c r="H10" s="4">
        <v>3</v>
      </c>
      <c r="I10" s="4">
        <v>899.99</v>
      </c>
      <c r="J10" s="4" t="s">
        <v>36</v>
      </c>
      <c r="K10" s="4" t="s">
        <v>65</v>
      </c>
      <c r="L10" s="4" t="s">
        <v>38</v>
      </c>
      <c r="M10" s="22">
        <v>45299</v>
      </c>
      <c r="N10" s="4">
        <v>2699.97</v>
      </c>
    </row>
    <row r="11" spans="1:26" ht="14.4">
      <c r="A11" s="4" t="s">
        <v>66</v>
      </c>
      <c r="B11" s="22">
        <v>45408</v>
      </c>
      <c r="C11" s="4" t="s">
        <v>67</v>
      </c>
      <c r="D11" s="4" t="s">
        <v>68</v>
      </c>
      <c r="E11" s="4" t="s">
        <v>33</v>
      </c>
      <c r="F11" s="4" t="s">
        <v>34</v>
      </c>
      <c r="G11" s="4" t="s">
        <v>35</v>
      </c>
      <c r="H11" s="4">
        <v>3</v>
      </c>
      <c r="I11" s="4">
        <v>59.99</v>
      </c>
      <c r="J11" s="4" t="s">
        <v>22</v>
      </c>
      <c r="K11" s="4" t="s">
        <v>52</v>
      </c>
      <c r="L11" s="4" t="s">
        <v>29</v>
      </c>
      <c r="M11" s="22">
        <v>45207</v>
      </c>
      <c r="N11" s="4">
        <v>179.97</v>
      </c>
    </row>
    <row r="12" spans="1:26" ht="14.4">
      <c r="A12" s="4" t="s">
        <v>69</v>
      </c>
      <c r="B12" s="22">
        <v>45408</v>
      </c>
      <c r="C12" s="4" t="s">
        <v>70</v>
      </c>
      <c r="D12" s="4" t="s">
        <v>71</v>
      </c>
      <c r="E12" s="4" t="s">
        <v>46</v>
      </c>
      <c r="F12" s="4" t="s">
        <v>47</v>
      </c>
      <c r="G12" s="4" t="s">
        <v>48</v>
      </c>
      <c r="H12" s="4">
        <v>1</v>
      </c>
      <c r="I12" s="4">
        <v>149.99</v>
      </c>
      <c r="J12" s="4" t="s">
        <v>28</v>
      </c>
      <c r="K12" s="4" t="s">
        <v>52</v>
      </c>
      <c r="L12" s="4" t="s">
        <v>38</v>
      </c>
      <c r="M12" s="22">
        <v>45103</v>
      </c>
      <c r="N12" s="4">
        <v>149.99</v>
      </c>
    </row>
    <row r="13" spans="1:26" ht="14.4">
      <c r="A13" s="4" t="s">
        <v>72</v>
      </c>
      <c r="B13" s="22">
        <v>45408</v>
      </c>
      <c r="C13" s="4" t="s">
        <v>40</v>
      </c>
      <c r="D13" s="4" t="s">
        <v>41</v>
      </c>
      <c r="E13" s="4" t="s">
        <v>46</v>
      </c>
      <c r="F13" s="4" t="s">
        <v>47</v>
      </c>
      <c r="G13" s="4" t="s">
        <v>48</v>
      </c>
      <c r="H13" s="4">
        <v>5</v>
      </c>
      <c r="I13" s="4">
        <v>149.99</v>
      </c>
      <c r="J13" s="4" t="s">
        <v>59</v>
      </c>
      <c r="K13" s="4" t="s">
        <v>42</v>
      </c>
      <c r="L13" s="4" t="s">
        <v>24</v>
      </c>
      <c r="M13" s="22">
        <v>44830</v>
      </c>
      <c r="N13" s="4">
        <v>749.95</v>
      </c>
    </row>
    <row r="14" spans="1:26" ht="14.4">
      <c r="A14" s="4" t="s">
        <v>73</v>
      </c>
      <c r="B14" s="22">
        <v>45408</v>
      </c>
      <c r="C14" s="4" t="s">
        <v>74</v>
      </c>
      <c r="D14" s="4" t="s">
        <v>75</v>
      </c>
      <c r="E14" s="4" t="s">
        <v>46</v>
      </c>
      <c r="F14" s="4" t="s">
        <v>47</v>
      </c>
      <c r="G14" s="4" t="s">
        <v>48</v>
      </c>
      <c r="H14" s="4">
        <v>3</v>
      </c>
      <c r="I14" s="4">
        <v>149.99</v>
      </c>
      <c r="J14" s="4" t="s">
        <v>22</v>
      </c>
      <c r="K14" s="4" t="s">
        <v>42</v>
      </c>
      <c r="L14" s="4" t="s">
        <v>29</v>
      </c>
      <c r="M14" s="22">
        <v>44806</v>
      </c>
      <c r="N14" s="4">
        <v>449.97</v>
      </c>
    </row>
    <row r="15" spans="1:26" ht="14.4">
      <c r="A15" s="4" t="s">
        <v>76</v>
      </c>
      <c r="B15" s="22">
        <v>45409</v>
      </c>
      <c r="C15" s="4" t="s">
        <v>77</v>
      </c>
      <c r="D15" s="4" t="s">
        <v>78</v>
      </c>
      <c r="E15" s="4" t="s">
        <v>33</v>
      </c>
      <c r="F15" s="4" t="s">
        <v>34</v>
      </c>
      <c r="G15" s="4" t="s">
        <v>35</v>
      </c>
      <c r="H15" s="4">
        <v>3</v>
      </c>
      <c r="I15" s="4">
        <v>59.99</v>
      </c>
      <c r="J15" s="4" t="s">
        <v>28</v>
      </c>
      <c r="K15" s="4" t="s">
        <v>42</v>
      </c>
      <c r="L15" s="4" t="s">
        <v>38</v>
      </c>
      <c r="M15" s="22">
        <v>45351</v>
      </c>
      <c r="N15" s="4">
        <v>179.97</v>
      </c>
    </row>
    <row r="16" spans="1:26" ht="14.4">
      <c r="A16" s="4" t="s">
        <v>79</v>
      </c>
      <c r="B16" s="22">
        <v>45409</v>
      </c>
      <c r="C16" s="4" t="s">
        <v>80</v>
      </c>
      <c r="D16" s="4" t="s">
        <v>81</v>
      </c>
      <c r="E16" s="4" t="s">
        <v>82</v>
      </c>
      <c r="F16" s="4" t="s">
        <v>83</v>
      </c>
      <c r="G16" s="4" t="s">
        <v>21</v>
      </c>
      <c r="H16" s="4">
        <v>3</v>
      </c>
      <c r="I16" s="4">
        <v>699.99</v>
      </c>
      <c r="J16" s="4" t="s">
        <v>28</v>
      </c>
      <c r="K16" s="4" t="s">
        <v>52</v>
      </c>
      <c r="L16" s="4" t="s">
        <v>24</v>
      </c>
      <c r="M16" s="22">
        <v>44577</v>
      </c>
      <c r="N16" s="4">
        <v>2099.9699999999998</v>
      </c>
    </row>
    <row r="17" spans="1:14" ht="14.4">
      <c r="A17" s="4" t="s">
        <v>84</v>
      </c>
      <c r="B17" s="22">
        <v>45409</v>
      </c>
      <c r="C17" s="4" t="s">
        <v>85</v>
      </c>
      <c r="D17" s="4" t="s">
        <v>86</v>
      </c>
      <c r="E17" s="4" t="s">
        <v>63</v>
      </c>
      <c r="F17" s="4" t="s">
        <v>64</v>
      </c>
      <c r="G17" s="4" t="s">
        <v>21</v>
      </c>
      <c r="H17" s="4">
        <v>1</v>
      </c>
      <c r="I17" s="4">
        <v>899.99</v>
      </c>
      <c r="J17" s="4" t="s">
        <v>59</v>
      </c>
      <c r="K17" s="4" t="s">
        <v>42</v>
      </c>
      <c r="L17" s="4" t="s">
        <v>38</v>
      </c>
      <c r="M17" s="22">
        <v>44920</v>
      </c>
      <c r="N17" s="4">
        <v>899.99</v>
      </c>
    </row>
    <row r="18" spans="1:14" ht="14.4">
      <c r="A18" s="4" t="s">
        <v>87</v>
      </c>
      <c r="B18" s="22">
        <v>45410</v>
      </c>
      <c r="C18" s="4" t="s">
        <v>88</v>
      </c>
      <c r="D18" s="4" t="s">
        <v>89</v>
      </c>
      <c r="E18" s="4" t="s">
        <v>46</v>
      </c>
      <c r="F18" s="4" t="s">
        <v>47</v>
      </c>
      <c r="G18" s="4" t="s">
        <v>48</v>
      </c>
      <c r="H18" s="4">
        <v>4</v>
      </c>
      <c r="I18" s="4">
        <v>149.99</v>
      </c>
      <c r="J18" s="4" t="s">
        <v>59</v>
      </c>
      <c r="K18" s="4" t="s">
        <v>42</v>
      </c>
      <c r="L18" s="4" t="s">
        <v>29</v>
      </c>
      <c r="M18" s="22">
        <v>45374</v>
      </c>
      <c r="N18" s="4">
        <v>599.96</v>
      </c>
    </row>
    <row r="19" spans="1:14" ht="14.4">
      <c r="A19" s="4" t="s">
        <v>90</v>
      </c>
      <c r="B19" s="22">
        <v>45410</v>
      </c>
      <c r="C19" s="4" t="s">
        <v>91</v>
      </c>
      <c r="D19" s="4" t="s">
        <v>92</v>
      </c>
      <c r="E19" s="4" t="s">
        <v>82</v>
      </c>
      <c r="F19" s="4" t="s">
        <v>83</v>
      </c>
      <c r="G19" s="4" t="s">
        <v>21</v>
      </c>
      <c r="H19" s="4">
        <v>2</v>
      </c>
      <c r="I19" s="4">
        <v>699.99</v>
      </c>
      <c r="J19" s="4" t="s">
        <v>22</v>
      </c>
      <c r="K19" s="4" t="s">
        <v>42</v>
      </c>
      <c r="L19" s="4" t="s">
        <v>24</v>
      </c>
      <c r="M19" s="22">
        <v>44781</v>
      </c>
      <c r="N19" s="4">
        <v>1399.98</v>
      </c>
    </row>
    <row r="20" spans="1:14" ht="14.4">
      <c r="A20" s="4" t="s">
        <v>93</v>
      </c>
      <c r="B20" s="22">
        <v>45410</v>
      </c>
      <c r="C20" s="4" t="s">
        <v>88</v>
      </c>
      <c r="D20" s="4" t="s">
        <v>89</v>
      </c>
      <c r="E20" s="4" t="s">
        <v>63</v>
      </c>
      <c r="F20" s="4" t="s">
        <v>64</v>
      </c>
      <c r="G20" s="4" t="s">
        <v>21</v>
      </c>
      <c r="H20" s="4">
        <v>4</v>
      </c>
      <c r="I20" s="4">
        <v>899.99</v>
      </c>
      <c r="J20" s="4" t="s">
        <v>28</v>
      </c>
      <c r="K20" s="4" t="s">
        <v>52</v>
      </c>
      <c r="L20" s="4" t="s">
        <v>38</v>
      </c>
      <c r="M20" s="22">
        <v>45327</v>
      </c>
      <c r="N20" s="4">
        <v>3599.96</v>
      </c>
    </row>
    <row r="21" spans="1:14" ht="15.75" customHeight="1">
      <c r="A21" s="4" t="s">
        <v>94</v>
      </c>
      <c r="B21" s="22">
        <v>45410</v>
      </c>
      <c r="C21" s="4" t="s">
        <v>95</v>
      </c>
      <c r="D21" s="4" t="s">
        <v>96</v>
      </c>
      <c r="E21" s="4" t="s">
        <v>19</v>
      </c>
      <c r="F21" s="4" t="s">
        <v>20</v>
      </c>
      <c r="G21" s="4" t="s">
        <v>21</v>
      </c>
      <c r="H21" s="4">
        <v>3</v>
      </c>
      <c r="I21" s="4">
        <v>249.99</v>
      </c>
      <c r="J21" s="4" t="s">
        <v>28</v>
      </c>
      <c r="K21" s="4" t="s">
        <v>42</v>
      </c>
      <c r="L21" s="4" t="s">
        <v>29</v>
      </c>
      <c r="M21" s="22">
        <v>45224</v>
      </c>
      <c r="N21" s="4">
        <v>749.97</v>
      </c>
    </row>
    <row r="22" spans="1:14" ht="15.75" customHeight="1">
      <c r="A22" s="4" t="s">
        <v>97</v>
      </c>
      <c r="B22" s="22">
        <v>45412</v>
      </c>
      <c r="C22" s="4" t="s">
        <v>98</v>
      </c>
      <c r="D22" s="4" t="s">
        <v>99</v>
      </c>
      <c r="E22" s="4" t="s">
        <v>82</v>
      </c>
      <c r="F22" s="4" t="s">
        <v>83</v>
      </c>
      <c r="G22" s="4" t="s">
        <v>21</v>
      </c>
      <c r="H22" s="4">
        <v>5</v>
      </c>
      <c r="I22" s="4">
        <v>699.99</v>
      </c>
      <c r="J22" s="4" t="s">
        <v>22</v>
      </c>
      <c r="K22" s="4" t="s">
        <v>52</v>
      </c>
      <c r="L22" s="4" t="s">
        <v>24</v>
      </c>
      <c r="M22" s="22">
        <v>45167</v>
      </c>
      <c r="N22" s="4">
        <v>3499.95</v>
      </c>
    </row>
    <row r="23" spans="1:14" ht="15.75" customHeight="1">
      <c r="A23" s="4" t="s">
        <v>100</v>
      </c>
      <c r="B23" s="22">
        <v>45413</v>
      </c>
      <c r="C23" s="4" t="s">
        <v>101</v>
      </c>
      <c r="D23" s="4" t="s">
        <v>102</v>
      </c>
      <c r="E23" s="4" t="s">
        <v>82</v>
      </c>
      <c r="F23" s="4" t="s">
        <v>83</v>
      </c>
      <c r="G23" s="4" t="s">
        <v>21</v>
      </c>
      <c r="H23" s="4">
        <v>4</v>
      </c>
      <c r="I23" s="4">
        <v>699.99</v>
      </c>
      <c r="J23" s="4" t="s">
        <v>22</v>
      </c>
      <c r="K23" s="4" t="s">
        <v>65</v>
      </c>
      <c r="L23" s="4" t="s">
        <v>38</v>
      </c>
      <c r="M23" s="22">
        <v>44409</v>
      </c>
      <c r="N23" s="4">
        <v>2799.96</v>
      </c>
    </row>
    <row r="24" spans="1:14" ht="15.75" customHeight="1">
      <c r="A24" s="4" t="s">
        <v>103</v>
      </c>
      <c r="B24" s="22">
        <v>45415</v>
      </c>
      <c r="C24" s="4" t="s">
        <v>104</v>
      </c>
      <c r="D24" s="4" t="s">
        <v>105</v>
      </c>
      <c r="E24" s="4" t="s">
        <v>19</v>
      </c>
      <c r="F24" s="4" t="s">
        <v>20</v>
      </c>
      <c r="G24" s="4" t="s">
        <v>21</v>
      </c>
      <c r="H24" s="4">
        <v>4</v>
      </c>
      <c r="I24" s="4">
        <v>249.99</v>
      </c>
      <c r="J24" s="4" t="s">
        <v>36</v>
      </c>
      <c r="K24" s="4" t="s">
        <v>42</v>
      </c>
      <c r="L24" s="4" t="s">
        <v>38</v>
      </c>
      <c r="M24" s="22">
        <v>44468</v>
      </c>
      <c r="N24" s="4">
        <v>999.96</v>
      </c>
    </row>
    <row r="25" spans="1:14" ht="15.75" customHeight="1">
      <c r="A25" s="4" t="s">
        <v>106</v>
      </c>
      <c r="B25" s="22">
        <v>45416</v>
      </c>
      <c r="C25" s="4" t="s">
        <v>88</v>
      </c>
      <c r="D25" s="4" t="s">
        <v>89</v>
      </c>
      <c r="E25" s="4" t="s">
        <v>107</v>
      </c>
      <c r="F25" s="4" t="s">
        <v>108</v>
      </c>
      <c r="G25" s="4" t="s">
        <v>48</v>
      </c>
      <c r="H25" s="4">
        <v>4</v>
      </c>
      <c r="I25" s="4">
        <v>299.99</v>
      </c>
      <c r="J25" s="4" t="s">
        <v>22</v>
      </c>
      <c r="K25" s="4" t="s">
        <v>52</v>
      </c>
      <c r="L25" s="4" t="s">
        <v>29</v>
      </c>
      <c r="M25" s="22">
        <v>44716</v>
      </c>
      <c r="N25" s="4">
        <v>1199.96</v>
      </c>
    </row>
    <row r="26" spans="1:14" ht="15.75" customHeight="1">
      <c r="A26" s="4" t="s">
        <v>109</v>
      </c>
      <c r="B26" s="22">
        <v>45422</v>
      </c>
      <c r="C26" s="4" t="s">
        <v>110</v>
      </c>
      <c r="D26" s="4" t="s">
        <v>111</v>
      </c>
      <c r="E26" s="4" t="s">
        <v>19</v>
      </c>
      <c r="F26" s="4" t="s">
        <v>20</v>
      </c>
      <c r="G26" s="4" t="s">
        <v>21</v>
      </c>
      <c r="H26" s="4">
        <v>5</v>
      </c>
      <c r="I26" s="4">
        <v>249.99</v>
      </c>
      <c r="J26" s="4" t="s">
        <v>28</v>
      </c>
      <c r="K26" s="4" t="s">
        <v>52</v>
      </c>
      <c r="L26" s="4" t="s">
        <v>38</v>
      </c>
      <c r="M26" s="22">
        <v>44525</v>
      </c>
      <c r="N26" s="4">
        <v>1249.95</v>
      </c>
    </row>
    <row r="27" spans="1:14" ht="15.75" customHeight="1">
      <c r="A27" s="4" t="s">
        <v>112</v>
      </c>
      <c r="B27" s="22">
        <v>45424</v>
      </c>
      <c r="C27" s="4" t="s">
        <v>70</v>
      </c>
      <c r="D27" s="4" t="s">
        <v>71</v>
      </c>
      <c r="E27" s="4" t="s">
        <v>107</v>
      </c>
      <c r="F27" s="4" t="s">
        <v>108</v>
      </c>
      <c r="G27" s="4" t="s">
        <v>48</v>
      </c>
      <c r="H27" s="4">
        <v>5</v>
      </c>
      <c r="I27" s="4">
        <v>299.99</v>
      </c>
      <c r="J27" s="4" t="s">
        <v>36</v>
      </c>
      <c r="K27" s="4" t="s">
        <v>65</v>
      </c>
      <c r="L27" s="4" t="s">
        <v>24</v>
      </c>
      <c r="M27" s="22">
        <v>45168</v>
      </c>
      <c r="N27" s="4">
        <v>1499.95</v>
      </c>
    </row>
    <row r="28" spans="1:14" ht="15.75" customHeight="1">
      <c r="A28" s="4" t="s">
        <v>113</v>
      </c>
      <c r="B28" s="22">
        <v>45424</v>
      </c>
      <c r="C28" s="4" t="s">
        <v>114</v>
      </c>
      <c r="D28" s="4" t="s">
        <v>115</v>
      </c>
      <c r="E28" s="4" t="s">
        <v>116</v>
      </c>
      <c r="F28" s="4" t="s">
        <v>117</v>
      </c>
      <c r="G28" s="4" t="s">
        <v>35</v>
      </c>
      <c r="H28" s="4">
        <v>3</v>
      </c>
      <c r="I28" s="4">
        <v>79.989999999999995</v>
      </c>
      <c r="J28" s="4" t="s">
        <v>36</v>
      </c>
      <c r="K28" s="4" t="s">
        <v>65</v>
      </c>
      <c r="L28" s="4" t="s">
        <v>29</v>
      </c>
      <c r="M28" s="22">
        <v>45012</v>
      </c>
      <c r="N28" s="4">
        <v>239.97</v>
      </c>
    </row>
    <row r="29" spans="1:14" ht="15.75" customHeight="1">
      <c r="A29" s="4" t="s">
        <v>118</v>
      </c>
      <c r="B29" s="22">
        <v>45424</v>
      </c>
      <c r="C29" s="4" t="s">
        <v>101</v>
      </c>
      <c r="D29" s="4" t="s">
        <v>102</v>
      </c>
      <c r="E29" s="4" t="s">
        <v>119</v>
      </c>
      <c r="F29" s="4" t="s">
        <v>120</v>
      </c>
      <c r="G29" s="4" t="s">
        <v>21</v>
      </c>
      <c r="H29" s="4">
        <v>5</v>
      </c>
      <c r="I29" s="4">
        <v>89.99</v>
      </c>
      <c r="J29" s="4" t="s">
        <v>22</v>
      </c>
      <c r="K29" s="4" t="s">
        <v>42</v>
      </c>
      <c r="L29" s="4" t="s">
        <v>29</v>
      </c>
      <c r="M29" s="22">
        <v>44919</v>
      </c>
      <c r="N29" s="4">
        <v>449.95</v>
      </c>
    </row>
    <row r="30" spans="1:14" ht="15.75" customHeight="1">
      <c r="A30" s="4" t="s">
        <v>121</v>
      </c>
      <c r="B30" s="22">
        <v>45425</v>
      </c>
      <c r="C30" s="4" t="s">
        <v>122</v>
      </c>
      <c r="D30" s="4" t="s">
        <v>123</v>
      </c>
      <c r="E30" s="4" t="s">
        <v>33</v>
      </c>
      <c r="F30" s="4" t="s">
        <v>34</v>
      </c>
      <c r="G30" s="4" t="s">
        <v>35</v>
      </c>
      <c r="H30" s="4">
        <v>2</v>
      </c>
      <c r="I30" s="4">
        <v>59.99</v>
      </c>
      <c r="J30" s="4" t="s">
        <v>59</v>
      </c>
      <c r="K30" s="4" t="s">
        <v>23</v>
      </c>
      <c r="L30" s="4" t="s">
        <v>38</v>
      </c>
      <c r="M30" s="22">
        <v>45214</v>
      </c>
      <c r="N30" s="4">
        <v>119.98</v>
      </c>
    </row>
    <row r="31" spans="1:14" ht="15.75" customHeight="1">
      <c r="A31" s="4" t="s">
        <v>124</v>
      </c>
      <c r="B31" s="22">
        <v>45427</v>
      </c>
      <c r="C31" s="4" t="s">
        <v>125</v>
      </c>
      <c r="D31" s="4" t="s">
        <v>126</v>
      </c>
      <c r="E31" s="4" t="s">
        <v>33</v>
      </c>
      <c r="F31" s="4" t="s">
        <v>34</v>
      </c>
      <c r="G31" s="4" t="s">
        <v>35</v>
      </c>
      <c r="H31" s="4">
        <v>4</v>
      </c>
      <c r="I31" s="4">
        <v>59.99</v>
      </c>
      <c r="J31" s="4" t="s">
        <v>59</v>
      </c>
      <c r="K31" s="4" t="s">
        <v>65</v>
      </c>
      <c r="L31" s="4" t="s">
        <v>38</v>
      </c>
      <c r="M31" s="22">
        <v>44867</v>
      </c>
      <c r="N31" s="4">
        <v>239.96</v>
      </c>
    </row>
    <row r="32" spans="1:14" ht="15.75" customHeight="1">
      <c r="A32" s="4" t="s">
        <v>127</v>
      </c>
      <c r="B32" s="22">
        <v>45427</v>
      </c>
      <c r="C32" s="4" t="s">
        <v>57</v>
      </c>
      <c r="D32" s="4" t="s">
        <v>58</v>
      </c>
      <c r="E32" s="4" t="s">
        <v>128</v>
      </c>
      <c r="F32" s="4" t="s">
        <v>129</v>
      </c>
      <c r="G32" s="4" t="s">
        <v>48</v>
      </c>
      <c r="H32" s="4">
        <v>5</v>
      </c>
      <c r="I32" s="4">
        <v>199.99</v>
      </c>
      <c r="J32" s="4" t="s">
        <v>22</v>
      </c>
      <c r="K32" s="4" t="s">
        <v>37</v>
      </c>
      <c r="L32" s="4" t="s">
        <v>38</v>
      </c>
      <c r="M32" s="22">
        <v>44412</v>
      </c>
      <c r="N32" s="4">
        <v>999.95</v>
      </c>
    </row>
    <row r="33" spans="1:14" ht="15.75" customHeight="1">
      <c r="A33" s="4" t="s">
        <v>130</v>
      </c>
      <c r="B33" s="22">
        <v>45428</v>
      </c>
      <c r="C33" s="4" t="s">
        <v>131</v>
      </c>
      <c r="D33" s="4" t="s">
        <v>132</v>
      </c>
      <c r="E33" s="4" t="s">
        <v>46</v>
      </c>
      <c r="F33" s="4" t="s">
        <v>47</v>
      </c>
      <c r="G33" s="4" t="s">
        <v>48</v>
      </c>
      <c r="H33" s="4">
        <v>2</v>
      </c>
      <c r="I33" s="4">
        <v>149.99</v>
      </c>
      <c r="J33" s="4" t="s">
        <v>28</v>
      </c>
      <c r="K33" s="4" t="s">
        <v>52</v>
      </c>
      <c r="L33" s="4" t="s">
        <v>24</v>
      </c>
      <c r="M33" s="22">
        <v>44823</v>
      </c>
      <c r="N33" s="4">
        <v>299.98</v>
      </c>
    </row>
    <row r="34" spans="1:14" ht="15.75" customHeight="1">
      <c r="A34" s="4" t="s">
        <v>133</v>
      </c>
      <c r="B34" s="22">
        <v>45430</v>
      </c>
      <c r="C34" s="4" t="s">
        <v>134</v>
      </c>
      <c r="D34" s="4" t="s">
        <v>135</v>
      </c>
      <c r="E34" s="4" t="s">
        <v>46</v>
      </c>
      <c r="F34" s="4" t="s">
        <v>47</v>
      </c>
      <c r="G34" s="4" t="s">
        <v>48</v>
      </c>
      <c r="H34" s="4">
        <v>3</v>
      </c>
      <c r="I34" s="4">
        <v>149.99</v>
      </c>
      <c r="J34" s="4" t="s">
        <v>28</v>
      </c>
      <c r="K34" s="4" t="s">
        <v>52</v>
      </c>
      <c r="L34" s="4" t="s">
        <v>29</v>
      </c>
      <c r="M34" s="22">
        <v>45068</v>
      </c>
      <c r="N34" s="4">
        <v>449.97</v>
      </c>
    </row>
    <row r="35" spans="1:14" ht="15.75" customHeight="1">
      <c r="A35" s="4" t="s">
        <v>136</v>
      </c>
      <c r="B35" s="22">
        <v>45432</v>
      </c>
      <c r="C35" s="4" t="s">
        <v>31</v>
      </c>
      <c r="D35" s="4" t="s">
        <v>32</v>
      </c>
      <c r="E35" s="4" t="s">
        <v>63</v>
      </c>
      <c r="F35" s="4" t="s">
        <v>64</v>
      </c>
      <c r="G35" s="4" t="s">
        <v>21</v>
      </c>
      <c r="H35" s="4">
        <v>1</v>
      </c>
      <c r="I35" s="4">
        <v>899.99</v>
      </c>
      <c r="J35" s="4" t="s">
        <v>28</v>
      </c>
      <c r="K35" s="4" t="s">
        <v>52</v>
      </c>
      <c r="L35" s="4" t="s">
        <v>29</v>
      </c>
      <c r="M35" s="22">
        <v>44578</v>
      </c>
      <c r="N35" s="4">
        <v>899.99</v>
      </c>
    </row>
    <row r="36" spans="1:14" ht="15.75" customHeight="1">
      <c r="A36" s="4" t="s">
        <v>137</v>
      </c>
      <c r="B36" s="22">
        <v>45434</v>
      </c>
      <c r="C36" s="4" t="s">
        <v>101</v>
      </c>
      <c r="D36" s="4" t="s">
        <v>102</v>
      </c>
      <c r="E36" s="4" t="s">
        <v>107</v>
      </c>
      <c r="F36" s="4" t="s">
        <v>108</v>
      </c>
      <c r="G36" s="4" t="s">
        <v>48</v>
      </c>
      <c r="H36" s="4">
        <v>3</v>
      </c>
      <c r="I36" s="4">
        <v>299.99</v>
      </c>
      <c r="J36" s="4" t="s">
        <v>28</v>
      </c>
      <c r="K36" s="4" t="s">
        <v>65</v>
      </c>
      <c r="L36" s="4" t="s">
        <v>24</v>
      </c>
      <c r="M36" s="22">
        <v>44824</v>
      </c>
      <c r="N36" s="4">
        <v>899.97</v>
      </c>
    </row>
    <row r="37" spans="1:14" ht="15.75" customHeight="1">
      <c r="A37" s="4" t="s">
        <v>138</v>
      </c>
      <c r="B37" s="22">
        <v>45435</v>
      </c>
      <c r="C37" s="4" t="s">
        <v>131</v>
      </c>
      <c r="D37" s="4" t="s">
        <v>132</v>
      </c>
      <c r="E37" s="4" t="s">
        <v>116</v>
      </c>
      <c r="F37" s="4" t="s">
        <v>117</v>
      </c>
      <c r="G37" s="4" t="s">
        <v>35</v>
      </c>
      <c r="H37" s="4">
        <v>3</v>
      </c>
      <c r="I37" s="4">
        <v>79.989999999999995</v>
      </c>
      <c r="J37" s="4" t="s">
        <v>22</v>
      </c>
      <c r="K37" s="4" t="s">
        <v>37</v>
      </c>
      <c r="L37" s="4" t="s">
        <v>24</v>
      </c>
      <c r="M37" s="22">
        <v>45046</v>
      </c>
      <c r="N37" s="4">
        <v>239.97</v>
      </c>
    </row>
    <row r="38" spans="1:14" ht="15.75" customHeight="1">
      <c r="A38" s="4" t="s">
        <v>139</v>
      </c>
      <c r="B38" s="22">
        <v>45438</v>
      </c>
      <c r="C38" s="4" t="s">
        <v>140</v>
      </c>
      <c r="D38" s="4" t="s">
        <v>141</v>
      </c>
      <c r="E38" s="4" t="s">
        <v>128</v>
      </c>
      <c r="F38" s="4" t="s">
        <v>129</v>
      </c>
      <c r="G38" s="4" t="s">
        <v>48</v>
      </c>
      <c r="H38" s="4">
        <v>3</v>
      </c>
      <c r="I38" s="4">
        <v>199.99</v>
      </c>
      <c r="J38" s="4" t="s">
        <v>28</v>
      </c>
      <c r="K38" s="4" t="s">
        <v>42</v>
      </c>
      <c r="L38" s="4" t="s">
        <v>29</v>
      </c>
      <c r="M38" s="22">
        <v>45292</v>
      </c>
      <c r="N38" s="4">
        <v>599.97</v>
      </c>
    </row>
    <row r="39" spans="1:14" ht="15.75" customHeight="1">
      <c r="A39" s="4" t="s">
        <v>142</v>
      </c>
      <c r="B39" s="22">
        <v>45440</v>
      </c>
      <c r="C39" s="4" t="s">
        <v>143</v>
      </c>
      <c r="D39" s="4" t="s">
        <v>144</v>
      </c>
      <c r="E39" s="4" t="s">
        <v>82</v>
      </c>
      <c r="F39" s="4" t="s">
        <v>83</v>
      </c>
      <c r="G39" s="4" t="s">
        <v>21</v>
      </c>
      <c r="H39" s="4">
        <v>5</v>
      </c>
      <c r="I39" s="4">
        <v>699.99</v>
      </c>
      <c r="J39" s="4" t="s">
        <v>36</v>
      </c>
      <c r="K39" s="4" t="s">
        <v>52</v>
      </c>
      <c r="L39" s="4" t="s">
        <v>38</v>
      </c>
      <c r="M39" s="22">
        <v>44407</v>
      </c>
      <c r="N39" s="4">
        <v>3499.95</v>
      </c>
    </row>
    <row r="40" spans="1:14" ht="15.75" customHeight="1">
      <c r="A40" s="4" t="s">
        <v>145</v>
      </c>
      <c r="B40" s="22">
        <v>45441</v>
      </c>
      <c r="C40" s="4" t="s">
        <v>146</v>
      </c>
      <c r="D40" s="4" t="s">
        <v>147</v>
      </c>
      <c r="E40" s="4" t="s">
        <v>119</v>
      </c>
      <c r="F40" s="4" t="s">
        <v>120</v>
      </c>
      <c r="G40" s="4" t="s">
        <v>21</v>
      </c>
      <c r="H40" s="4">
        <v>3</v>
      </c>
      <c r="I40" s="4">
        <v>89.99</v>
      </c>
      <c r="J40" s="4" t="s">
        <v>36</v>
      </c>
      <c r="K40" s="4" t="s">
        <v>23</v>
      </c>
      <c r="L40" s="4" t="s">
        <v>29</v>
      </c>
      <c r="M40" s="22">
        <v>45120</v>
      </c>
      <c r="N40" s="4">
        <v>269.97000000000003</v>
      </c>
    </row>
    <row r="41" spans="1:14" ht="15.75" customHeight="1">
      <c r="A41" s="4" t="s">
        <v>148</v>
      </c>
      <c r="B41" s="22">
        <v>45443</v>
      </c>
      <c r="C41" s="4" t="s">
        <v>149</v>
      </c>
      <c r="D41" s="4" t="s">
        <v>150</v>
      </c>
      <c r="E41" s="4" t="s">
        <v>116</v>
      </c>
      <c r="F41" s="4" t="s">
        <v>117</v>
      </c>
      <c r="G41" s="4" t="s">
        <v>35</v>
      </c>
      <c r="H41" s="4">
        <v>1</v>
      </c>
      <c r="I41" s="4">
        <v>79.989999999999995</v>
      </c>
      <c r="J41" s="4" t="s">
        <v>22</v>
      </c>
      <c r="K41" s="4" t="s">
        <v>42</v>
      </c>
      <c r="L41" s="4" t="s">
        <v>38</v>
      </c>
      <c r="M41" s="22">
        <v>44917</v>
      </c>
      <c r="N41" s="4">
        <v>79.989999999999995</v>
      </c>
    </row>
    <row r="42" spans="1:14" ht="15.75" customHeight="1">
      <c r="A42" s="4" t="s">
        <v>151</v>
      </c>
      <c r="B42" s="22">
        <v>45444</v>
      </c>
      <c r="C42" s="4" t="s">
        <v>152</v>
      </c>
      <c r="D42" s="4" t="s">
        <v>153</v>
      </c>
      <c r="E42" s="4" t="s">
        <v>33</v>
      </c>
      <c r="F42" s="4" t="s">
        <v>34</v>
      </c>
      <c r="G42" s="4" t="s">
        <v>35</v>
      </c>
      <c r="H42" s="4">
        <v>2</v>
      </c>
      <c r="I42" s="4">
        <v>59.99</v>
      </c>
      <c r="J42" s="4" t="s">
        <v>22</v>
      </c>
      <c r="K42" s="4" t="s">
        <v>52</v>
      </c>
      <c r="L42" s="4" t="s">
        <v>24</v>
      </c>
      <c r="M42" s="22">
        <v>45390</v>
      </c>
      <c r="N42" s="4">
        <v>119.98</v>
      </c>
    </row>
    <row r="43" spans="1:14" ht="15.75" customHeight="1">
      <c r="A43" s="4" t="s">
        <v>154</v>
      </c>
      <c r="B43" s="22">
        <v>45444</v>
      </c>
      <c r="C43" s="4" t="s">
        <v>57</v>
      </c>
      <c r="D43" s="4" t="s">
        <v>58</v>
      </c>
      <c r="E43" s="4" t="s">
        <v>119</v>
      </c>
      <c r="F43" s="4" t="s">
        <v>120</v>
      </c>
      <c r="G43" s="4" t="s">
        <v>21</v>
      </c>
      <c r="H43" s="4">
        <v>1</v>
      </c>
      <c r="I43" s="4">
        <v>89.99</v>
      </c>
      <c r="J43" s="4" t="s">
        <v>22</v>
      </c>
      <c r="K43" s="4" t="s">
        <v>42</v>
      </c>
      <c r="L43" s="4" t="s">
        <v>24</v>
      </c>
      <c r="M43" s="22">
        <v>45141</v>
      </c>
      <c r="N43" s="4">
        <v>89.99</v>
      </c>
    </row>
    <row r="44" spans="1:14" ht="15.75" customHeight="1">
      <c r="A44" s="4" t="s">
        <v>155</v>
      </c>
      <c r="B44" s="22">
        <v>45446</v>
      </c>
      <c r="C44" s="4" t="s">
        <v>156</v>
      </c>
      <c r="D44" s="4" t="s">
        <v>157</v>
      </c>
      <c r="E44" s="4" t="s">
        <v>119</v>
      </c>
      <c r="F44" s="4" t="s">
        <v>120</v>
      </c>
      <c r="G44" s="4" t="s">
        <v>21</v>
      </c>
      <c r="H44" s="4">
        <v>5</v>
      </c>
      <c r="I44" s="4">
        <v>89.99</v>
      </c>
      <c r="J44" s="4" t="s">
        <v>28</v>
      </c>
      <c r="K44" s="4" t="s">
        <v>65</v>
      </c>
      <c r="L44" s="4" t="s">
        <v>38</v>
      </c>
      <c r="M44" s="22">
        <v>44587</v>
      </c>
      <c r="N44" s="4">
        <v>449.95</v>
      </c>
    </row>
    <row r="45" spans="1:14" ht="15.75" customHeight="1">
      <c r="A45" s="4" t="s">
        <v>158</v>
      </c>
      <c r="B45" s="22">
        <v>45449</v>
      </c>
      <c r="C45" s="4" t="s">
        <v>26</v>
      </c>
      <c r="D45" s="4" t="s">
        <v>27</v>
      </c>
      <c r="E45" s="4" t="s">
        <v>19</v>
      </c>
      <c r="F45" s="4" t="s">
        <v>20</v>
      </c>
      <c r="G45" s="4" t="s">
        <v>21</v>
      </c>
      <c r="H45" s="4">
        <v>5</v>
      </c>
      <c r="I45" s="4">
        <v>249.99</v>
      </c>
      <c r="J45" s="4" t="s">
        <v>28</v>
      </c>
      <c r="K45" s="4" t="s">
        <v>65</v>
      </c>
      <c r="L45" s="4" t="s">
        <v>38</v>
      </c>
      <c r="M45" s="22">
        <v>44707</v>
      </c>
      <c r="N45" s="4">
        <v>1249.95</v>
      </c>
    </row>
    <row r="46" spans="1:14" ht="15.75" customHeight="1">
      <c r="A46" s="4" t="s">
        <v>159</v>
      </c>
      <c r="B46" s="22">
        <v>45449</v>
      </c>
      <c r="C46" s="4" t="s">
        <v>160</v>
      </c>
      <c r="D46" s="4" t="s">
        <v>161</v>
      </c>
      <c r="E46" s="4" t="s">
        <v>119</v>
      </c>
      <c r="F46" s="4" t="s">
        <v>120</v>
      </c>
      <c r="G46" s="4" t="s">
        <v>21</v>
      </c>
      <c r="H46" s="4">
        <v>1</v>
      </c>
      <c r="I46" s="4">
        <v>89.99</v>
      </c>
      <c r="J46" s="4" t="s">
        <v>28</v>
      </c>
      <c r="K46" s="4" t="s">
        <v>37</v>
      </c>
      <c r="L46" s="4" t="s">
        <v>38</v>
      </c>
      <c r="M46" s="22">
        <v>44582</v>
      </c>
      <c r="N46" s="4">
        <v>89.99</v>
      </c>
    </row>
    <row r="47" spans="1:14" ht="15.75" customHeight="1">
      <c r="A47" s="4" t="s">
        <v>162</v>
      </c>
      <c r="B47" s="22">
        <v>45450</v>
      </c>
      <c r="C47" s="4" t="s">
        <v>44</v>
      </c>
      <c r="D47" s="4" t="s">
        <v>45</v>
      </c>
      <c r="E47" s="4" t="s">
        <v>46</v>
      </c>
      <c r="F47" s="4" t="s">
        <v>47</v>
      </c>
      <c r="G47" s="4" t="s">
        <v>48</v>
      </c>
      <c r="H47" s="4">
        <v>2</v>
      </c>
      <c r="I47" s="4">
        <v>149.99</v>
      </c>
      <c r="J47" s="4" t="s">
        <v>22</v>
      </c>
      <c r="K47" s="4" t="s">
        <v>65</v>
      </c>
      <c r="L47" s="4" t="s">
        <v>29</v>
      </c>
      <c r="M47" s="22">
        <v>44645</v>
      </c>
      <c r="N47" s="4">
        <v>299.98</v>
      </c>
    </row>
    <row r="48" spans="1:14" ht="15.75" customHeight="1">
      <c r="A48" s="4" t="s">
        <v>163</v>
      </c>
      <c r="B48" s="22">
        <v>45452</v>
      </c>
      <c r="C48" s="4" t="s">
        <v>164</v>
      </c>
      <c r="D48" s="4" t="s">
        <v>165</v>
      </c>
      <c r="E48" s="4" t="s">
        <v>33</v>
      </c>
      <c r="F48" s="4" t="s">
        <v>34</v>
      </c>
      <c r="G48" s="4" t="s">
        <v>35</v>
      </c>
      <c r="H48" s="4">
        <v>4</v>
      </c>
      <c r="I48" s="4">
        <v>59.99</v>
      </c>
      <c r="J48" s="4" t="s">
        <v>22</v>
      </c>
      <c r="K48" s="4" t="s">
        <v>65</v>
      </c>
      <c r="L48" s="4" t="s">
        <v>38</v>
      </c>
      <c r="M48" s="22">
        <v>44435</v>
      </c>
      <c r="N48" s="4">
        <v>239.96</v>
      </c>
    </row>
    <row r="49" spans="1:14" ht="15.75" customHeight="1">
      <c r="A49" s="4" t="s">
        <v>166</v>
      </c>
      <c r="B49" s="22">
        <v>45456</v>
      </c>
      <c r="C49" s="4" t="s">
        <v>131</v>
      </c>
      <c r="D49" s="4" t="s">
        <v>132</v>
      </c>
      <c r="E49" s="4" t="s">
        <v>119</v>
      </c>
      <c r="F49" s="4" t="s">
        <v>120</v>
      </c>
      <c r="G49" s="4" t="s">
        <v>21</v>
      </c>
      <c r="H49" s="4">
        <v>5</v>
      </c>
      <c r="I49" s="4">
        <v>89.99</v>
      </c>
      <c r="J49" s="4" t="s">
        <v>22</v>
      </c>
      <c r="K49" s="4" t="s">
        <v>23</v>
      </c>
      <c r="L49" s="4" t="s">
        <v>29</v>
      </c>
      <c r="M49" s="22">
        <v>44579</v>
      </c>
      <c r="N49" s="4">
        <v>449.95</v>
      </c>
    </row>
    <row r="50" spans="1:14" ht="15.75" customHeight="1">
      <c r="A50" s="4" t="s">
        <v>167</v>
      </c>
      <c r="B50" s="22">
        <v>45459</v>
      </c>
      <c r="C50" s="4" t="s">
        <v>101</v>
      </c>
      <c r="D50" s="4" t="s">
        <v>102</v>
      </c>
      <c r="E50" s="4" t="s">
        <v>119</v>
      </c>
      <c r="F50" s="4" t="s">
        <v>120</v>
      </c>
      <c r="G50" s="4" t="s">
        <v>21</v>
      </c>
      <c r="H50" s="4">
        <v>2</v>
      </c>
      <c r="I50" s="4">
        <v>89.99</v>
      </c>
      <c r="J50" s="4" t="s">
        <v>28</v>
      </c>
      <c r="K50" s="4" t="s">
        <v>37</v>
      </c>
      <c r="L50" s="4" t="s">
        <v>29</v>
      </c>
      <c r="M50" s="22">
        <v>44471</v>
      </c>
      <c r="N50" s="4">
        <v>179.98</v>
      </c>
    </row>
    <row r="51" spans="1:14" ht="15.75" customHeight="1">
      <c r="A51" s="4" t="s">
        <v>168</v>
      </c>
      <c r="B51" s="22">
        <v>45459</v>
      </c>
      <c r="C51" s="4" t="s">
        <v>17</v>
      </c>
      <c r="D51" s="4" t="s">
        <v>18</v>
      </c>
      <c r="E51" s="4" t="s">
        <v>63</v>
      </c>
      <c r="F51" s="4" t="s">
        <v>64</v>
      </c>
      <c r="G51" s="4" t="s">
        <v>21</v>
      </c>
      <c r="H51" s="4">
        <v>5</v>
      </c>
      <c r="I51" s="4">
        <v>899.99</v>
      </c>
      <c r="J51" s="4" t="s">
        <v>28</v>
      </c>
      <c r="K51" s="4" t="s">
        <v>37</v>
      </c>
      <c r="L51" s="4" t="s">
        <v>38</v>
      </c>
      <c r="M51" s="22">
        <v>44974</v>
      </c>
      <c r="N51" s="4">
        <v>4499.95</v>
      </c>
    </row>
    <row r="52" spans="1:14" ht="15.75" customHeight="1">
      <c r="A52" s="4" t="s">
        <v>169</v>
      </c>
      <c r="B52" s="22">
        <v>45459</v>
      </c>
      <c r="C52" s="4" t="s">
        <v>125</v>
      </c>
      <c r="D52" s="4" t="s">
        <v>126</v>
      </c>
      <c r="E52" s="4" t="s">
        <v>63</v>
      </c>
      <c r="F52" s="4" t="s">
        <v>64</v>
      </c>
      <c r="G52" s="4" t="s">
        <v>21</v>
      </c>
      <c r="H52" s="4">
        <v>5</v>
      </c>
      <c r="I52" s="4">
        <v>899.99</v>
      </c>
      <c r="J52" s="4" t="s">
        <v>36</v>
      </c>
      <c r="K52" s="4" t="s">
        <v>65</v>
      </c>
      <c r="L52" s="4" t="s">
        <v>29</v>
      </c>
      <c r="M52" s="22">
        <v>45278</v>
      </c>
      <c r="N52" s="4">
        <v>4499.95</v>
      </c>
    </row>
    <row r="53" spans="1:14" ht="15.75" customHeight="1">
      <c r="A53" s="4" t="s">
        <v>170</v>
      </c>
      <c r="B53" s="22">
        <v>45460</v>
      </c>
      <c r="C53" s="4" t="s">
        <v>160</v>
      </c>
      <c r="D53" s="4" t="s">
        <v>161</v>
      </c>
      <c r="E53" s="4" t="s">
        <v>33</v>
      </c>
      <c r="F53" s="4" t="s">
        <v>34</v>
      </c>
      <c r="G53" s="4" t="s">
        <v>35</v>
      </c>
      <c r="H53" s="4">
        <v>1</v>
      </c>
      <c r="I53" s="4">
        <v>59.99</v>
      </c>
      <c r="J53" s="4" t="s">
        <v>59</v>
      </c>
      <c r="K53" s="4" t="s">
        <v>52</v>
      </c>
      <c r="L53" s="4" t="s">
        <v>29</v>
      </c>
      <c r="M53" s="22">
        <v>45190</v>
      </c>
      <c r="N53" s="4">
        <v>59.99</v>
      </c>
    </row>
    <row r="54" spans="1:14" ht="15.75" customHeight="1">
      <c r="A54" s="4" t="s">
        <v>171</v>
      </c>
      <c r="B54" s="22">
        <v>45460</v>
      </c>
      <c r="C54" s="4" t="s">
        <v>143</v>
      </c>
      <c r="D54" s="4" t="s">
        <v>144</v>
      </c>
      <c r="E54" s="4" t="s">
        <v>107</v>
      </c>
      <c r="F54" s="4" t="s">
        <v>108</v>
      </c>
      <c r="G54" s="4" t="s">
        <v>48</v>
      </c>
      <c r="H54" s="4">
        <v>2</v>
      </c>
      <c r="I54" s="4">
        <v>299.99</v>
      </c>
      <c r="J54" s="4" t="s">
        <v>59</v>
      </c>
      <c r="K54" s="4" t="s">
        <v>65</v>
      </c>
      <c r="L54" s="4" t="s">
        <v>38</v>
      </c>
      <c r="M54" s="22">
        <v>45253</v>
      </c>
      <c r="N54" s="4">
        <v>599.98</v>
      </c>
    </row>
    <row r="55" spans="1:14" ht="15.75" customHeight="1">
      <c r="A55" s="4" t="s">
        <v>172</v>
      </c>
      <c r="B55" s="22">
        <v>45468</v>
      </c>
      <c r="C55" s="4" t="s">
        <v>173</v>
      </c>
      <c r="D55" s="4" t="s">
        <v>174</v>
      </c>
      <c r="E55" s="4" t="s">
        <v>119</v>
      </c>
      <c r="F55" s="4" t="s">
        <v>120</v>
      </c>
      <c r="G55" s="4" t="s">
        <v>21</v>
      </c>
      <c r="H55" s="4">
        <v>4</v>
      </c>
      <c r="I55" s="4">
        <v>89.99</v>
      </c>
      <c r="J55" s="4" t="s">
        <v>59</v>
      </c>
      <c r="K55" s="4" t="s">
        <v>37</v>
      </c>
      <c r="L55" s="4" t="s">
        <v>24</v>
      </c>
      <c r="M55" s="22">
        <v>45281</v>
      </c>
      <c r="N55" s="4">
        <v>359.96</v>
      </c>
    </row>
    <row r="56" spans="1:14" ht="15.75" customHeight="1">
      <c r="A56" s="4" t="s">
        <v>175</v>
      </c>
      <c r="B56" s="22">
        <v>45469</v>
      </c>
      <c r="C56" s="4" t="s">
        <v>31</v>
      </c>
      <c r="D56" s="4" t="s">
        <v>32</v>
      </c>
      <c r="E56" s="4" t="s">
        <v>116</v>
      </c>
      <c r="F56" s="4" t="s">
        <v>117</v>
      </c>
      <c r="G56" s="4" t="s">
        <v>35</v>
      </c>
      <c r="H56" s="4">
        <v>1</v>
      </c>
      <c r="I56" s="4">
        <v>79.989999999999995</v>
      </c>
      <c r="J56" s="4" t="s">
        <v>36</v>
      </c>
      <c r="K56" s="4" t="s">
        <v>23</v>
      </c>
      <c r="L56" s="4" t="s">
        <v>29</v>
      </c>
      <c r="M56" s="22">
        <v>45352</v>
      </c>
      <c r="N56" s="4">
        <v>79.989999999999995</v>
      </c>
    </row>
    <row r="57" spans="1:14" ht="15.75" customHeight="1">
      <c r="A57" s="4" t="s">
        <v>176</v>
      </c>
      <c r="B57" s="22">
        <v>45469</v>
      </c>
      <c r="C57" s="4" t="s">
        <v>61</v>
      </c>
      <c r="D57" s="4" t="s">
        <v>62</v>
      </c>
      <c r="E57" s="4" t="s">
        <v>119</v>
      </c>
      <c r="F57" s="4" t="s">
        <v>120</v>
      </c>
      <c r="G57" s="4" t="s">
        <v>21</v>
      </c>
      <c r="H57" s="4">
        <v>2</v>
      </c>
      <c r="I57" s="4">
        <v>89.99</v>
      </c>
      <c r="J57" s="4" t="s">
        <v>22</v>
      </c>
      <c r="K57" s="4" t="s">
        <v>52</v>
      </c>
      <c r="L57" s="4" t="s">
        <v>24</v>
      </c>
      <c r="M57" s="22">
        <v>44438</v>
      </c>
      <c r="N57" s="4">
        <v>179.98</v>
      </c>
    </row>
    <row r="58" spans="1:14" ht="15.75" customHeight="1">
      <c r="A58" s="4" t="s">
        <v>177</v>
      </c>
      <c r="B58" s="22">
        <v>45471</v>
      </c>
      <c r="C58" s="4" t="s">
        <v>40</v>
      </c>
      <c r="D58" s="4" t="s">
        <v>41</v>
      </c>
      <c r="E58" s="4" t="s">
        <v>82</v>
      </c>
      <c r="F58" s="4" t="s">
        <v>83</v>
      </c>
      <c r="G58" s="4" t="s">
        <v>21</v>
      </c>
      <c r="H58" s="4">
        <v>3</v>
      </c>
      <c r="I58" s="4">
        <v>699.99</v>
      </c>
      <c r="J58" s="4" t="s">
        <v>28</v>
      </c>
      <c r="K58" s="4" t="s">
        <v>65</v>
      </c>
      <c r="L58" s="4" t="s">
        <v>29</v>
      </c>
      <c r="M58" s="22">
        <v>45102</v>
      </c>
      <c r="N58" s="4">
        <v>2099.9699999999998</v>
      </c>
    </row>
    <row r="59" spans="1:14" ht="15.75" customHeight="1">
      <c r="A59" s="4" t="s">
        <v>178</v>
      </c>
      <c r="B59" s="22">
        <v>45471</v>
      </c>
      <c r="C59" s="4" t="s">
        <v>101</v>
      </c>
      <c r="D59" s="4" t="s">
        <v>102</v>
      </c>
      <c r="E59" s="4" t="s">
        <v>63</v>
      </c>
      <c r="F59" s="4" t="s">
        <v>64</v>
      </c>
      <c r="G59" s="4" t="s">
        <v>21</v>
      </c>
      <c r="H59" s="4">
        <v>4</v>
      </c>
      <c r="I59" s="4">
        <v>899.99</v>
      </c>
      <c r="J59" s="4" t="s">
        <v>28</v>
      </c>
      <c r="K59" s="4" t="s">
        <v>65</v>
      </c>
      <c r="L59" s="4" t="s">
        <v>29</v>
      </c>
      <c r="M59" s="22">
        <v>44993</v>
      </c>
      <c r="N59" s="4">
        <v>3599.96</v>
      </c>
    </row>
    <row r="60" spans="1:14" ht="15.75" customHeight="1">
      <c r="A60" s="4" t="s">
        <v>179</v>
      </c>
      <c r="B60" s="22">
        <v>45472</v>
      </c>
      <c r="C60" s="4" t="s">
        <v>122</v>
      </c>
      <c r="D60" s="4" t="s">
        <v>123</v>
      </c>
      <c r="E60" s="4" t="s">
        <v>46</v>
      </c>
      <c r="F60" s="4" t="s">
        <v>47</v>
      </c>
      <c r="G60" s="4" t="s">
        <v>48</v>
      </c>
      <c r="H60" s="4">
        <v>1</v>
      </c>
      <c r="I60" s="4">
        <v>149.99</v>
      </c>
      <c r="J60" s="4" t="s">
        <v>36</v>
      </c>
      <c r="K60" s="4" t="s">
        <v>65</v>
      </c>
      <c r="L60" s="4" t="s">
        <v>24</v>
      </c>
      <c r="M60" s="22">
        <v>44851</v>
      </c>
      <c r="N60" s="4">
        <v>149.99</v>
      </c>
    </row>
    <row r="61" spans="1:14" ht="15.75" customHeight="1">
      <c r="A61" s="4" t="s">
        <v>180</v>
      </c>
      <c r="B61" s="22">
        <v>45474</v>
      </c>
      <c r="C61" s="4" t="s">
        <v>134</v>
      </c>
      <c r="D61" s="4" t="s">
        <v>135</v>
      </c>
      <c r="E61" s="4" t="s">
        <v>119</v>
      </c>
      <c r="F61" s="4" t="s">
        <v>120</v>
      </c>
      <c r="G61" s="4" t="s">
        <v>21</v>
      </c>
      <c r="H61" s="4">
        <v>2</v>
      </c>
      <c r="I61" s="4">
        <v>89.99</v>
      </c>
      <c r="J61" s="4" t="s">
        <v>36</v>
      </c>
      <c r="K61" s="4" t="s">
        <v>23</v>
      </c>
      <c r="L61" s="4" t="s">
        <v>29</v>
      </c>
      <c r="M61" s="22">
        <v>45275</v>
      </c>
      <c r="N61" s="4">
        <v>179.98</v>
      </c>
    </row>
    <row r="62" spans="1:14" ht="15.75" customHeight="1">
      <c r="A62" s="4" t="s">
        <v>181</v>
      </c>
      <c r="B62" s="22">
        <v>45475</v>
      </c>
      <c r="C62" s="4" t="s">
        <v>57</v>
      </c>
      <c r="D62" s="4" t="s">
        <v>58</v>
      </c>
      <c r="E62" s="4" t="s">
        <v>119</v>
      </c>
      <c r="F62" s="4" t="s">
        <v>120</v>
      </c>
      <c r="G62" s="4" t="s">
        <v>21</v>
      </c>
      <c r="H62" s="4">
        <v>1</v>
      </c>
      <c r="I62" s="4">
        <v>89.99</v>
      </c>
      <c r="J62" s="4" t="s">
        <v>36</v>
      </c>
      <c r="K62" s="4" t="s">
        <v>52</v>
      </c>
      <c r="L62" s="4" t="s">
        <v>38</v>
      </c>
      <c r="M62" s="22">
        <v>44802</v>
      </c>
      <c r="N62" s="4">
        <v>89.99</v>
      </c>
    </row>
    <row r="63" spans="1:14" ht="15.75" customHeight="1">
      <c r="A63" s="4" t="s">
        <v>182</v>
      </c>
      <c r="B63" s="22">
        <v>45476</v>
      </c>
      <c r="C63" s="4" t="s">
        <v>70</v>
      </c>
      <c r="D63" s="4" t="s">
        <v>71</v>
      </c>
      <c r="E63" s="4" t="s">
        <v>119</v>
      </c>
      <c r="F63" s="4" t="s">
        <v>120</v>
      </c>
      <c r="G63" s="4" t="s">
        <v>21</v>
      </c>
      <c r="H63" s="4">
        <v>1</v>
      </c>
      <c r="I63" s="4">
        <v>89.99</v>
      </c>
      <c r="J63" s="4" t="s">
        <v>22</v>
      </c>
      <c r="K63" s="4" t="s">
        <v>37</v>
      </c>
      <c r="L63" s="4" t="s">
        <v>38</v>
      </c>
      <c r="M63" s="22">
        <v>44611</v>
      </c>
      <c r="N63" s="4">
        <v>89.99</v>
      </c>
    </row>
    <row r="64" spans="1:14" ht="15.75" customHeight="1">
      <c r="A64" s="4" t="s">
        <v>183</v>
      </c>
      <c r="B64" s="22">
        <v>45476</v>
      </c>
      <c r="C64" s="4" t="s">
        <v>184</v>
      </c>
      <c r="D64" s="4" t="s">
        <v>185</v>
      </c>
      <c r="E64" s="4" t="s">
        <v>116</v>
      </c>
      <c r="F64" s="4" t="s">
        <v>117</v>
      </c>
      <c r="G64" s="4" t="s">
        <v>35</v>
      </c>
      <c r="H64" s="4">
        <v>5</v>
      </c>
      <c r="I64" s="4">
        <v>79.989999999999995</v>
      </c>
      <c r="J64" s="4" t="s">
        <v>59</v>
      </c>
      <c r="K64" s="4" t="s">
        <v>23</v>
      </c>
      <c r="L64" s="4" t="s">
        <v>24</v>
      </c>
      <c r="M64" s="22">
        <v>44981</v>
      </c>
      <c r="N64" s="4">
        <v>399.95</v>
      </c>
    </row>
    <row r="65" spans="1:14" ht="15.75" customHeight="1">
      <c r="A65" s="4" t="s">
        <v>186</v>
      </c>
      <c r="B65" s="22">
        <v>45481</v>
      </c>
      <c r="C65" s="4" t="s">
        <v>187</v>
      </c>
      <c r="D65" s="4" t="s">
        <v>188</v>
      </c>
      <c r="E65" s="4" t="s">
        <v>46</v>
      </c>
      <c r="F65" s="4" t="s">
        <v>47</v>
      </c>
      <c r="G65" s="4" t="s">
        <v>48</v>
      </c>
      <c r="H65" s="4">
        <v>1</v>
      </c>
      <c r="I65" s="4">
        <v>149.99</v>
      </c>
      <c r="J65" s="4" t="s">
        <v>36</v>
      </c>
      <c r="K65" s="4" t="s">
        <v>42</v>
      </c>
      <c r="L65" s="4" t="s">
        <v>24</v>
      </c>
      <c r="M65" s="22">
        <v>44421</v>
      </c>
      <c r="N65" s="4">
        <v>149.99</v>
      </c>
    </row>
    <row r="66" spans="1:14" ht="15.75" customHeight="1">
      <c r="A66" s="4" t="s">
        <v>189</v>
      </c>
      <c r="B66" s="22">
        <v>45481</v>
      </c>
      <c r="C66" s="4" t="s">
        <v>44</v>
      </c>
      <c r="D66" s="4" t="s">
        <v>45</v>
      </c>
      <c r="E66" s="4" t="s">
        <v>82</v>
      </c>
      <c r="F66" s="4" t="s">
        <v>83</v>
      </c>
      <c r="G66" s="4" t="s">
        <v>21</v>
      </c>
      <c r="H66" s="4">
        <v>2</v>
      </c>
      <c r="I66" s="4">
        <v>699.99</v>
      </c>
      <c r="J66" s="4" t="s">
        <v>36</v>
      </c>
      <c r="K66" s="4" t="s">
        <v>65</v>
      </c>
      <c r="L66" s="4" t="s">
        <v>29</v>
      </c>
      <c r="M66" s="22">
        <v>45389</v>
      </c>
      <c r="N66" s="4">
        <v>1399.98</v>
      </c>
    </row>
    <row r="67" spans="1:14" ht="15.75" customHeight="1">
      <c r="A67" s="4" t="s">
        <v>190</v>
      </c>
      <c r="B67" s="22">
        <v>45481</v>
      </c>
      <c r="C67" s="4" t="s">
        <v>98</v>
      </c>
      <c r="D67" s="4" t="s">
        <v>99</v>
      </c>
      <c r="E67" s="4" t="s">
        <v>119</v>
      </c>
      <c r="F67" s="4" t="s">
        <v>120</v>
      </c>
      <c r="G67" s="4" t="s">
        <v>21</v>
      </c>
      <c r="H67" s="4">
        <v>5</v>
      </c>
      <c r="I67" s="4">
        <v>89.99</v>
      </c>
      <c r="J67" s="4" t="s">
        <v>59</v>
      </c>
      <c r="K67" s="4" t="s">
        <v>42</v>
      </c>
      <c r="L67" s="4" t="s">
        <v>29</v>
      </c>
      <c r="M67" s="22">
        <v>45161</v>
      </c>
      <c r="N67" s="4">
        <v>449.95</v>
      </c>
    </row>
    <row r="68" spans="1:14" ht="15.75" customHeight="1">
      <c r="A68" s="4" t="s">
        <v>191</v>
      </c>
      <c r="B68" s="22">
        <v>45482</v>
      </c>
      <c r="C68" s="4" t="s">
        <v>173</v>
      </c>
      <c r="D68" s="4" t="s">
        <v>174</v>
      </c>
      <c r="E68" s="4" t="s">
        <v>33</v>
      </c>
      <c r="F68" s="4" t="s">
        <v>34</v>
      </c>
      <c r="G68" s="4" t="s">
        <v>35</v>
      </c>
      <c r="H68" s="4">
        <v>4</v>
      </c>
      <c r="I68" s="4">
        <v>59.99</v>
      </c>
      <c r="J68" s="4" t="s">
        <v>22</v>
      </c>
      <c r="K68" s="4" t="s">
        <v>37</v>
      </c>
      <c r="L68" s="4" t="s">
        <v>38</v>
      </c>
      <c r="M68" s="22">
        <v>44509</v>
      </c>
      <c r="N68" s="4">
        <v>239.96</v>
      </c>
    </row>
    <row r="69" spans="1:14" ht="15.75" customHeight="1">
      <c r="A69" s="4" t="s">
        <v>192</v>
      </c>
      <c r="B69" s="22">
        <v>45484</v>
      </c>
      <c r="C69" s="4" t="s">
        <v>26</v>
      </c>
      <c r="D69" s="4" t="s">
        <v>27</v>
      </c>
      <c r="E69" s="4" t="s">
        <v>54</v>
      </c>
      <c r="F69" s="4" t="s">
        <v>55</v>
      </c>
      <c r="G69" s="4" t="s">
        <v>21</v>
      </c>
      <c r="H69" s="4">
        <v>1</v>
      </c>
      <c r="I69" s="4">
        <v>149.99</v>
      </c>
      <c r="J69" s="4" t="s">
        <v>22</v>
      </c>
      <c r="K69" s="4" t="s">
        <v>23</v>
      </c>
      <c r="L69" s="4" t="s">
        <v>38</v>
      </c>
      <c r="M69" s="22">
        <v>44909</v>
      </c>
      <c r="N69" s="4">
        <v>149.99</v>
      </c>
    </row>
    <row r="70" spans="1:14" ht="15.75" customHeight="1">
      <c r="A70" s="4" t="s">
        <v>193</v>
      </c>
      <c r="B70" s="22">
        <v>45484</v>
      </c>
      <c r="C70" s="4" t="s">
        <v>194</v>
      </c>
      <c r="D70" s="4" t="s">
        <v>195</v>
      </c>
      <c r="E70" s="4" t="s">
        <v>107</v>
      </c>
      <c r="F70" s="4" t="s">
        <v>108</v>
      </c>
      <c r="G70" s="4" t="s">
        <v>48</v>
      </c>
      <c r="H70" s="4">
        <v>1</v>
      </c>
      <c r="I70" s="4">
        <v>299.99</v>
      </c>
      <c r="J70" s="4" t="s">
        <v>28</v>
      </c>
      <c r="K70" s="4" t="s">
        <v>42</v>
      </c>
      <c r="L70" s="4" t="s">
        <v>29</v>
      </c>
      <c r="M70" s="22">
        <v>44891</v>
      </c>
      <c r="N70" s="4">
        <v>299.99</v>
      </c>
    </row>
    <row r="71" spans="1:14" ht="15.75" customHeight="1">
      <c r="A71" s="4" t="s">
        <v>196</v>
      </c>
      <c r="B71" s="22">
        <v>45487</v>
      </c>
      <c r="C71" s="4" t="s">
        <v>194</v>
      </c>
      <c r="D71" s="4" t="s">
        <v>195</v>
      </c>
      <c r="E71" s="4" t="s">
        <v>128</v>
      </c>
      <c r="F71" s="4" t="s">
        <v>129</v>
      </c>
      <c r="G71" s="4" t="s">
        <v>48</v>
      </c>
      <c r="H71" s="4">
        <v>2</v>
      </c>
      <c r="I71" s="4">
        <v>199.99</v>
      </c>
      <c r="J71" s="4" t="s">
        <v>22</v>
      </c>
      <c r="K71" s="4" t="s">
        <v>42</v>
      </c>
      <c r="L71" s="4" t="s">
        <v>24</v>
      </c>
      <c r="M71" s="22">
        <v>44541</v>
      </c>
      <c r="N71" s="4">
        <v>399.98</v>
      </c>
    </row>
    <row r="72" spans="1:14" ht="15.75" customHeight="1">
      <c r="A72" s="4" t="s">
        <v>197</v>
      </c>
      <c r="B72" s="22">
        <v>45490</v>
      </c>
      <c r="C72" s="4" t="s">
        <v>198</v>
      </c>
      <c r="D72" s="4" t="s">
        <v>199</v>
      </c>
      <c r="E72" s="4" t="s">
        <v>33</v>
      </c>
      <c r="F72" s="4" t="s">
        <v>34</v>
      </c>
      <c r="G72" s="4" t="s">
        <v>35</v>
      </c>
      <c r="H72" s="4">
        <v>3</v>
      </c>
      <c r="I72" s="4">
        <v>59.99</v>
      </c>
      <c r="J72" s="4" t="s">
        <v>28</v>
      </c>
      <c r="K72" s="4" t="s">
        <v>52</v>
      </c>
      <c r="L72" s="4" t="s">
        <v>24</v>
      </c>
      <c r="M72" s="22">
        <v>45130</v>
      </c>
      <c r="N72" s="4">
        <v>179.97</v>
      </c>
    </row>
    <row r="73" spans="1:14" ht="15.75" customHeight="1">
      <c r="A73" s="4" t="s">
        <v>200</v>
      </c>
      <c r="B73" s="22">
        <v>45490</v>
      </c>
      <c r="C73" s="4" t="s">
        <v>74</v>
      </c>
      <c r="D73" s="4" t="s">
        <v>75</v>
      </c>
      <c r="E73" s="4" t="s">
        <v>46</v>
      </c>
      <c r="F73" s="4" t="s">
        <v>47</v>
      </c>
      <c r="G73" s="4" t="s">
        <v>48</v>
      </c>
      <c r="H73" s="4">
        <v>3</v>
      </c>
      <c r="I73" s="4">
        <v>149.99</v>
      </c>
      <c r="J73" s="4" t="s">
        <v>22</v>
      </c>
      <c r="K73" s="4" t="s">
        <v>23</v>
      </c>
      <c r="L73" s="4" t="s">
        <v>29</v>
      </c>
      <c r="M73" s="22">
        <v>45199</v>
      </c>
      <c r="N73" s="4">
        <v>449.97</v>
      </c>
    </row>
    <row r="74" spans="1:14" ht="15.75" customHeight="1">
      <c r="A74" s="4" t="s">
        <v>201</v>
      </c>
      <c r="B74" s="22">
        <v>45491</v>
      </c>
      <c r="C74" s="4" t="s">
        <v>67</v>
      </c>
      <c r="D74" s="4" t="s">
        <v>68</v>
      </c>
      <c r="E74" s="4" t="s">
        <v>128</v>
      </c>
      <c r="F74" s="4" t="s">
        <v>129</v>
      </c>
      <c r="G74" s="4" t="s">
        <v>48</v>
      </c>
      <c r="H74" s="4">
        <v>3</v>
      </c>
      <c r="I74" s="4">
        <v>199.99</v>
      </c>
      <c r="J74" s="4" t="s">
        <v>22</v>
      </c>
      <c r="K74" s="4" t="s">
        <v>42</v>
      </c>
      <c r="L74" s="4" t="s">
        <v>29</v>
      </c>
      <c r="M74" s="22">
        <v>45254</v>
      </c>
      <c r="N74" s="4">
        <v>599.97</v>
      </c>
    </row>
    <row r="75" spans="1:14" ht="15.75" customHeight="1">
      <c r="A75" s="4" t="s">
        <v>202</v>
      </c>
      <c r="B75" s="22">
        <v>45496</v>
      </c>
      <c r="C75" s="4" t="s">
        <v>152</v>
      </c>
      <c r="D75" s="4" t="s">
        <v>153</v>
      </c>
      <c r="E75" s="4" t="s">
        <v>63</v>
      </c>
      <c r="F75" s="4" t="s">
        <v>64</v>
      </c>
      <c r="G75" s="4" t="s">
        <v>21</v>
      </c>
      <c r="H75" s="4">
        <v>1</v>
      </c>
      <c r="I75" s="4">
        <v>899.99</v>
      </c>
      <c r="J75" s="4" t="s">
        <v>22</v>
      </c>
      <c r="K75" s="4" t="s">
        <v>23</v>
      </c>
      <c r="L75" s="4" t="s">
        <v>38</v>
      </c>
      <c r="M75" s="22">
        <v>45179</v>
      </c>
      <c r="N75" s="4">
        <v>899.99</v>
      </c>
    </row>
    <row r="76" spans="1:14" ht="15.75" customHeight="1">
      <c r="A76" s="4" t="s">
        <v>203</v>
      </c>
      <c r="B76" s="22">
        <v>45497</v>
      </c>
      <c r="C76" s="4" t="s">
        <v>26</v>
      </c>
      <c r="D76" s="4" t="s">
        <v>27</v>
      </c>
      <c r="E76" s="4" t="s">
        <v>63</v>
      </c>
      <c r="F76" s="4" t="s">
        <v>64</v>
      </c>
      <c r="G76" s="4" t="s">
        <v>21</v>
      </c>
      <c r="H76" s="4">
        <v>5</v>
      </c>
      <c r="I76" s="4">
        <v>899.99</v>
      </c>
      <c r="J76" s="4" t="s">
        <v>59</v>
      </c>
      <c r="K76" s="4" t="s">
        <v>37</v>
      </c>
      <c r="L76" s="4" t="s">
        <v>38</v>
      </c>
      <c r="M76" s="22">
        <v>44899</v>
      </c>
      <c r="N76" s="4">
        <v>4499.95</v>
      </c>
    </row>
    <row r="77" spans="1:14" ht="15.75" customHeight="1">
      <c r="A77" s="4" t="s">
        <v>204</v>
      </c>
      <c r="B77" s="22">
        <v>45498</v>
      </c>
      <c r="C77" s="4" t="s">
        <v>184</v>
      </c>
      <c r="D77" s="4" t="s">
        <v>185</v>
      </c>
      <c r="E77" s="4" t="s">
        <v>33</v>
      </c>
      <c r="F77" s="4" t="s">
        <v>34</v>
      </c>
      <c r="G77" s="4" t="s">
        <v>35</v>
      </c>
      <c r="H77" s="4">
        <v>2</v>
      </c>
      <c r="I77" s="4">
        <v>59.99</v>
      </c>
      <c r="J77" s="4" t="s">
        <v>22</v>
      </c>
      <c r="K77" s="4" t="s">
        <v>42</v>
      </c>
      <c r="L77" s="4" t="s">
        <v>38</v>
      </c>
      <c r="M77" s="22">
        <v>45152</v>
      </c>
      <c r="N77" s="4">
        <v>119.98</v>
      </c>
    </row>
    <row r="78" spans="1:14" ht="15.75" customHeight="1">
      <c r="A78" s="4" t="s">
        <v>205</v>
      </c>
      <c r="B78" s="22">
        <v>45498</v>
      </c>
      <c r="C78" s="4" t="s">
        <v>198</v>
      </c>
      <c r="D78" s="4" t="s">
        <v>199</v>
      </c>
      <c r="E78" s="4" t="s">
        <v>19</v>
      </c>
      <c r="F78" s="4" t="s">
        <v>20</v>
      </c>
      <c r="G78" s="4" t="s">
        <v>21</v>
      </c>
      <c r="H78" s="4">
        <v>4</v>
      </c>
      <c r="I78" s="4">
        <v>249.99</v>
      </c>
      <c r="J78" s="4" t="s">
        <v>59</v>
      </c>
      <c r="K78" s="4" t="s">
        <v>23</v>
      </c>
      <c r="L78" s="4" t="s">
        <v>38</v>
      </c>
      <c r="M78" s="22">
        <v>45127</v>
      </c>
      <c r="N78" s="4">
        <v>999.96</v>
      </c>
    </row>
    <row r="79" spans="1:14" ht="15.75" customHeight="1">
      <c r="A79" s="4" t="s">
        <v>206</v>
      </c>
      <c r="B79" s="22">
        <v>45500</v>
      </c>
      <c r="C79" s="4" t="s">
        <v>98</v>
      </c>
      <c r="D79" s="4" t="s">
        <v>99</v>
      </c>
      <c r="E79" s="4" t="s">
        <v>19</v>
      </c>
      <c r="F79" s="4" t="s">
        <v>20</v>
      </c>
      <c r="G79" s="4" t="s">
        <v>21</v>
      </c>
      <c r="H79" s="4">
        <v>2</v>
      </c>
      <c r="I79" s="4">
        <v>249.99</v>
      </c>
      <c r="J79" s="4" t="s">
        <v>22</v>
      </c>
      <c r="K79" s="4" t="s">
        <v>42</v>
      </c>
      <c r="L79" s="4" t="s">
        <v>29</v>
      </c>
      <c r="M79" s="22">
        <v>45164</v>
      </c>
      <c r="N79" s="4">
        <v>499.98</v>
      </c>
    </row>
    <row r="80" spans="1:14" ht="15.75" customHeight="1">
      <c r="A80" s="4" t="s">
        <v>207</v>
      </c>
      <c r="B80" s="22">
        <v>45500</v>
      </c>
      <c r="C80" s="4" t="s">
        <v>149</v>
      </c>
      <c r="D80" s="4" t="s">
        <v>150</v>
      </c>
      <c r="E80" s="4" t="s">
        <v>107</v>
      </c>
      <c r="F80" s="4" t="s">
        <v>108</v>
      </c>
      <c r="G80" s="4" t="s">
        <v>48</v>
      </c>
      <c r="H80" s="4">
        <v>1</v>
      </c>
      <c r="I80" s="4">
        <v>299.99</v>
      </c>
      <c r="J80" s="4" t="s">
        <v>22</v>
      </c>
      <c r="K80" s="4" t="s">
        <v>37</v>
      </c>
      <c r="L80" s="4" t="s">
        <v>24</v>
      </c>
      <c r="M80" s="22">
        <v>44982</v>
      </c>
      <c r="N80" s="4">
        <v>299.99</v>
      </c>
    </row>
    <row r="81" spans="1:14" ht="15.75" customHeight="1">
      <c r="A81" s="4" t="s">
        <v>208</v>
      </c>
      <c r="B81" s="22">
        <v>45501</v>
      </c>
      <c r="C81" s="4" t="s">
        <v>88</v>
      </c>
      <c r="D81" s="4" t="s">
        <v>89</v>
      </c>
      <c r="E81" s="4" t="s">
        <v>119</v>
      </c>
      <c r="F81" s="4" t="s">
        <v>120</v>
      </c>
      <c r="G81" s="4" t="s">
        <v>21</v>
      </c>
      <c r="H81" s="4">
        <v>2</v>
      </c>
      <c r="I81" s="4">
        <v>89.99</v>
      </c>
      <c r="J81" s="4" t="s">
        <v>36</v>
      </c>
      <c r="K81" s="4" t="s">
        <v>37</v>
      </c>
      <c r="L81" s="4" t="s">
        <v>24</v>
      </c>
      <c r="M81" s="22">
        <v>44976</v>
      </c>
      <c r="N81" s="4">
        <v>179.98</v>
      </c>
    </row>
    <row r="82" spans="1:14" ht="15.75" customHeight="1">
      <c r="A82" s="4" t="s">
        <v>209</v>
      </c>
      <c r="B82" s="22">
        <v>45501</v>
      </c>
      <c r="C82" s="4" t="s">
        <v>149</v>
      </c>
      <c r="D82" s="4" t="s">
        <v>150</v>
      </c>
      <c r="E82" s="4" t="s">
        <v>107</v>
      </c>
      <c r="F82" s="4" t="s">
        <v>108</v>
      </c>
      <c r="G82" s="4" t="s">
        <v>48</v>
      </c>
      <c r="H82" s="4">
        <v>3</v>
      </c>
      <c r="I82" s="4">
        <v>299.99</v>
      </c>
      <c r="J82" s="4" t="s">
        <v>22</v>
      </c>
      <c r="K82" s="4" t="s">
        <v>23</v>
      </c>
      <c r="L82" s="4" t="s">
        <v>24</v>
      </c>
      <c r="M82" s="22">
        <v>44732</v>
      </c>
      <c r="N82" s="4">
        <v>899.97</v>
      </c>
    </row>
    <row r="83" spans="1:14" ht="15.75" customHeight="1">
      <c r="A83" s="4" t="s">
        <v>210</v>
      </c>
      <c r="B83" s="22">
        <v>45503</v>
      </c>
      <c r="C83" s="4" t="s">
        <v>88</v>
      </c>
      <c r="D83" s="4" t="s">
        <v>89</v>
      </c>
      <c r="E83" s="4" t="s">
        <v>82</v>
      </c>
      <c r="F83" s="4" t="s">
        <v>83</v>
      </c>
      <c r="G83" s="4" t="s">
        <v>21</v>
      </c>
      <c r="H83" s="4">
        <v>2</v>
      </c>
      <c r="I83" s="4">
        <v>699.99</v>
      </c>
      <c r="J83" s="4" t="s">
        <v>28</v>
      </c>
      <c r="K83" s="4" t="s">
        <v>42</v>
      </c>
      <c r="L83" s="4" t="s">
        <v>29</v>
      </c>
      <c r="M83" s="22">
        <v>44999</v>
      </c>
      <c r="N83" s="4">
        <v>1399.98</v>
      </c>
    </row>
    <row r="84" spans="1:14" ht="15.75" customHeight="1">
      <c r="A84" s="4" t="s">
        <v>211</v>
      </c>
      <c r="B84" s="22">
        <v>45504</v>
      </c>
      <c r="C84" s="4" t="s">
        <v>122</v>
      </c>
      <c r="D84" s="4" t="s">
        <v>123</v>
      </c>
      <c r="E84" s="4" t="s">
        <v>63</v>
      </c>
      <c r="F84" s="4" t="s">
        <v>64</v>
      </c>
      <c r="G84" s="4" t="s">
        <v>21</v>
      </c>
      <c r="H84" s="4">
        <v>4</v>
      </c>
      <c r="I84" s="4">
        <v>899.99</v>
      </c>
      <c r="J84" s="4" t="s">
        <v>59</v>
      </c>
      <c r="K84" s="4" t="s">
        <v>37</v>
      </c>
      <c r="L84" s="4" t="s">
        <v>38</v>
      </c>
      <c r="M84" s="22">
        <v>44523</v>
      </c>
      <c r="N84" s="4">
        <v>3599.96</v>
      </c>
    </row>
    <row r="85" spans="1:14" ht="15.75" customHeight="1">
      <c r="A85" s="4" t="s">
        <v>212</v>
      </c>
      <c r="B85" s="22">
        <v>45509</v>
      </c>
      <c r="C85" s="4" t="s">
        <v>213</v>
      </c>
      <c r="D85" s="4" t="s">
        <v>214</v>
      </c>
      <c r="E85" s="4" t="s">
        <v>46</v>
      </c>
      <c r="F85" s="4" t="s">
        <v>47</v>
      </c>
      <c r="G85" s="4" t="s">
        <v>48</v>
      </c>
      <c r="H85" s="4">
        <v>2</v>
      </c>
      <c r="I85" s="4">
        <v>149.99</v>
      </c>
      <c r="J85" s="4" t="s">
        <v>28</v>
      </c>
      <c r="K85" s="4" t="s">
        <v>52</v>
      </c>
      <c r="L85" s="4" t="s">
        <v>24</v>
      </c>
      <c r="M85" s="22">
        <v>44542</v>
      </c>
      <c r="N85" s="4">
        <v>299.98</v>
      </c>
    </row>
    <row r="86" spans="1:14" ht="15.75" customHeight="1">
      <c r="A86" s="4" t="s">
        <v>215</v>
      </c>
      <c r="B86" s="22">
        <v>45510</v>
      </c>
      <c r="C86" s="4" t="s">
        <v>104</v>
      </c>
      <c r="D86" s="4" t="s">
        <v>105</v>
      </c>
      <c r="E86" s="4" t="s">
        <v>46</v>
      </c>
      <c r="F86" s="4" t="s">
        <v>47</v>
      </c>
      <c r="G86" s="4" t="s">
        <v>48</v>
      </c>
      <c r="H86" s="4">
        <v>2</v>
      </c>
      <c r="I86" s="4">
        <v>149.99</v>
      </c>
      <c r="J86" s="4" t="s">
        <v>59</v>
      </c>
      <c r="K86" s="4" t="s">
        <v>65</v>
      </c>
      <c r="L86" s="4" t="s">
        <v>38</v>
      </c>
      <c r="M86" s="22">
        <v>44667</v>
      </c>
      <c r="N86" s="4">
        <v>299.98</v>
      </c>
    </row>
    <row r="87" spans="1:14" ht="15.75" customHeight="1">
      <c r="A87" s="4" t="s">
        <v>216</v>
      </c>
      <c r="B87" s="22">
        <v>45513</v>
      </c>
      <c r="C87" s="4" t="s">
        <v>91</v>
      </c>
      <c r="D87" s="4" t="s">
        <v>92</v>
      </c>
      <c r="E87" s="4" t="s">
        <v>119</v>
      </c>
      <c r="F87" s="4" t="s">
        <v>120</v>
      </c>
      <c r="G87" s="4" t="s">
        <v>21</v>
      </c>
      <c r="H87" s="4">
        <v>1</v>
      </c>
      <c r="I87" s="4">
        <v>89.99</v>
      </c>
      <c r="J87" s="4" t="s">
        <v>28</v>
      </c>
      <c r="K87" s="4" t="s">
        <v>42</v>
      </c>
      <c r="L87" s="4" t="s">
        <v>38</v>
      </c>
      <c r="M87" s="22">
        <v>45393</v>
      </c>
      <c r="N87" s="4">
        <v>89.99</v>
      </c>
    </row>
    <row r="88" spans="1:14" ht="15.75" customHeight="1">
      <c r="A88" s="4" t="s">
        <v>217</v>
      </c>
      <c r="B88" s="22">
        <v>45515</v>
      </c>
      <c r="C88" s="4" t="s">
        <v>88</v>
      </c>
      <c r="D88" s="4" t="s">
        <v>89</v>
      </c>
      <c r="E88" s="4" t="s">
        <v>107</v>
      </c>
      <c r="F88" s="4" t="s">
        <v>108</v>
      </c>
      <c r="G88" s="4" t="s">
        <v>48</v>
      </c>
      <c r="H88" s="4">
        <v>5</v>
      </c>
      <c r="I88" s="4">
        <v>299.99</v>
      </c>
      <c r="J88" s="4" t="s">
        <v>28</v>
      </c>
      <c r="K88" s="4" t="s">
        <v>42</v>
      </c>
      <c r="L88" s="4" t="s">
        <v>24</v>
      </c>
      <c r="M88" s="22">
        <v>44965</v>
      </c>
      <c r="N88" s="4">
        <v>1499.95</v>
      </c>
    </row>
    <row r="89" spans="1:14" ht="15.75" customHeight="1">
      <c r="A89" s="4" t="s">
        <v>218</v>
      </c>
      <c r="B89" s="22">
        <v>45517</v>
      </c>
      <c r="C89" s="4" t="s">
        <v>184</v>
      </c>
      <c r="D89" s="4" t="s">
        <v>185</v>
      </c>
      <c r="E89" s="4" t="s">
        <v>54</v>
      </c>
      <c r="F89" s="4" t="s">
        <v>55</v>
      </c>
      <c r="G89" s="4" t="s">
        <v>21</v>
      </c>
      <c r="H89" s="4">
        <v>4</v>
      </c>
      <c r="I89" s="4">
        <v>149.99</v>
      </c>
      <c r="J89" s="4" t="s">
        <v>59</v>
      </c>
      <c r="K89" s="4" t="s">
        <v>37</v>
      </c>
      <c r="L89" s="4" t="s">
        <v>29</v>
      </c>
      <c r="M89" s="22">
        <v>44820</v>
      </c>
      <c r="N89" s="4">
        <v>599.96</v>
      </c>
    </row>
    <row r="90" spans="1:14" ht="15.75" customHeight="1">
      <c r="A90" s="4" t="s">
        <v>219</v>
      </c>
      <c r="B90" s="22">
        <v>45517</v>
      </c>
      <c r="C90" s="4" t="s">
        <v>187</v>
      </c>
      <c r="D90" s="4" t="s">
        <v>188</v>
      </c>
      <c r="E90" s="4" t="s">
        <v>19</v>
      </c>
      <c r="F90" s="4" t="s">
        <v>20</v>
      </c>
      <c r="G90" s="4" t="s">
        <v>21</v>
      </c>
      <c r="H90" s="4">
        <v>5</v>
      </c>
      <c r="I90" s="4">
        <v>249.99</v>
      </c>
      <c r="J90" s="4" t="s">
        <v>36</v>
      </c>
      <c r="K90" s="4" t="s">
        <v>65</v>
      </c>
      <c r="L90" s="4" t="s">
        <v>29</v>
      </c>
      <c r="M90" s="22">
        <v>44782</v>
      </c>
      <c r="N90" s="4">
        <v>1249.95</v>
      </c>
    </row>
    <row r="91" spans="1:14" ht="15.75" customHeight="1">
      <c r="A91" s="4" t="s">
        <v>220</v>
      </c>
      <c r="B91" s="22">
        <v>45517</v>
      </c>
      <c r="C91" s="4" t="s">
        <v>67</v>
      </c>
      <c r="D91" s="4" t="s">
        <v>68</v>
      </c>
      <c r="E91" s="4" t="s">
        <v>19</v>
      </c>
      <c r="F91" s="4" t="s">
        <v>20</v>
      </c>
      <c r="G91" s="4" t="s">
        <v>21</v>
      </c>
      <c r="H91" s="4">
        <v>3</v>
      </c>
      <c r="I91" s="4">
        <v>249.99</v>
      </c>
      <c r="J91" s="4" t="s">
        <v>36</v>
      </c>
      <c r="K91" s="4" t="s">
        <v>42</v>
      </c>
      <c r="L91" s="4" t="s">
        <v>29</v>
      </c>
      <c r="M91" s="22">
        <v>44465</v>
      </c>
      <c r="N91" s="4">
        <v>749.97</v>
      </c>
    </row>
    <row r="92" spans="1:14" ht="15.75" customHeight="1">
      <c r="A92" s="4" t="s">
        <v>221</v>
      </c>
      <c r="B92" s="22">
        <v>45517</v>
      </c>
      <c r="C92" s="4" t="s">
        <v>40</v>
      </c>
      <c r="D92" s="4" t="s">
        <v>41</v>
      </c>
      <c r="E92" s="4" t="s">
        <v>128</v>
      </c>
      <c r="F92" s="4" t="s">
        <v>129</v>
      </c>
      <c r="G92" s="4" t="s">
        <v>48</v>
      </c>
      <c r="H92" s="4">
        <v>4</v>
      </c>
      <c r="I92" s="4">
        <v>199.99</v>
      </c>
      <c r="J92" s="4" t="s">
        <v>22</v>
      </c>
      <c r="K92" s="4" t="s">
        <v>42</v>
      </c>
      <c r="L92" s="4" t="s">
        <v>38</v>
      </c>
      <c r="M92" s="22">
        <v>44458</v>
      </c>
      <c r="N92" s="4">
        <v>799.96</v>
      </c>
    </row>
    <row r="93" spans="1:14" ht="15.75" customHeight="1">
      <c r="A93" s="4" t="s">
        <v>222</v>
      </c>
      <c r="B93" s="22">
        <v>45519</v>
      </c>
      <c r="C93" s="4" t="s">
        <v>160</v>
      </c>
      <c r="D93" s="4" t="s">
        <v>161</v>
      </c>
      <c r="E93" s="4" t="s">
        <v>128</v>
      </c>
      <c r="F93" s="4" t="s">
        <v>129</v>
      </c>
      <c r="G93" s="4" t="s">
        <v>48</v>
      </c>
      <c r="H93" s="4">
        <v>5</v>
      </c>
      <c r="I93" s="4">
        <v>199.99</v>
      </c>
      <c r="J93" s="4" t="s">
        <v>22</v>
      </c>
      <c r="K93" s="4" t="s">
        <v>42</v>
      </c>
      <c r="L93" s="4" t="s">
        <v>29</v>
      </c>
      <c r="M93" s="22">
        <v>44991</v>
      </c>
      <c r="N93" s="4">
        <v>999.95</v>
      </c>
    </row>
    <row r="94" spans="1:14" ht="15.75" customHeight="1">
      <c r="A94" s="4" t="s">
        <v>223</v>
      </c>
      <c r="B94" s="22">
        <v>45522</v>
      </c>
      <c r="C94" s="4" t="s">
        <v>88</v>
      </c>
      <c r="D94" s="4" t="s">
        <v>89</v>
      </c>
      <c r="E94" s="4" t="s">
        <v>119</v>
      </c>
      <c r="F94" s="4" t="s">
        <v>120</v>
      </c>
      <c r="G94" s="4" t="s">
        <v>21</v>
      </c>
      <c r="H94" s="4">
        <v>2</v>
      </c>
      <c r="I94" s="4">
        <v>89.99</v>
      </c>
      <c r="J94" s="4" t="s">
        <v>22</v>
      </c>
      <c r="K94" s="4" t="s">
        <v>65</v>
      </c>
      <c r="L94" s="4" t="s">
        <v>29</v>
      </c>
      <c r="M94" s="22">
        <v>44972</v>
      </c>
      <c r="N94" s="4">
        <v>179.98</v>
      </c>
    </row>
    <row r="95" spans="1:14" ht="15.75" customHeight="1">
      <c r="A95" s="4" t="s">
        <v>224</v>
      </c>
      <c r="B95" s="22">
        <v>45523</v>
      </c>
      <c r="C95" s="4" t="s">
        <v>198</v>
      </c>
      <c r="D95" s="4" t="s">
        <v>199</v>
      </c>
      <c r="E95" s="4" t="s">
        <v>63</v>
      </c>
      <c r="F95" s="4" t="s">
        <v>64</v>
      </c>
      <c r="G95" s="4" t="s">
        <v>21</v>
      </c>
      <c r="H95" s="4">
        <v>5</v>
      </c>
      <c r="I95" s="4">
        <v>899.99</v>
      </c>
      <c r="J95" s="4" t="s">
        <v>59</v>
      </c>
      <c r="K95" s="4" t="s">
        <v>65</v>
      </c>
      <c r="L95" s="4" t="s">
        <v>24</v>
      </c>
      <c r="M95" s="22">
        <v>44526</v>
      </c>
      <c r="N95" s="4">
        <v>4499.95</v>
      </c>
    </row>
    <row r="96" spans="1:14" ht="15.75" customHeight="1">
      <c r="A96" s="4" t="s">
        <v>225</v>
      </c>
      <c r="B96" s="22">
        <v>45523</v>
      </c>
      <c r="C96" s="4" t="s">
        <v>110</v>
      </c>
      <c r="D96" s="4" t="s">
        <v>111</v>
      </c>
      <c r="E96" s="4" t="s">
        <v>54</v>
      </c>
      <c r="F96" s="4" t="s">
        <v>55</v>
      </c>
      <c r="G96" s="4" t="s">
        <v>21</v>
      </c>
      <c r="H96" s="4">
        <v>3</v>
      </c>
      <c r="I96" s="4">
        <v>149.99</v>
      </c>
      <c r="J96" s="4" t="s">
        <v>36</v>
      </c>
      <c r="K96" s="4" t="s">
        <v>65</v>
      </c>
      <c r="L96" s="4" t="s">
        <v>24</v>
      </c>
      <c r="M96" s="22">
        <v>44574</v>
      </c>
      <c r="N96" s="4">
        <v>449.97</v>
      </c>
    </row>
    <row r="97" spans="1:14" ht="15.75" customHeight="1">
      <c r="A97" s="4" t="s">
        <v>226</v>
      </c>
      <c r="B97" s="22">
        <v>45526</v>
      </c>
      <c r="C97" s="4" t="s">
        <v>104</v>
      </c>
      <c r="D97" s="4" t="s">
        <v>105</v>
      </c>
      <c r="E97" s="4" t="s">
        <v>46</v>
      </c>
      <c r="F97" s="4" t="s">
        <v>47</v>
      </c>
      <c r="G97" s="4" t="s">
        <v>48</v>
      </c>
      <c r="H97" s="4">
        <v>5</v>
      </c>
      <c r="I97" s="4">
        <v>149.99</v>
      </c>
      <c r="J97" s="4" t="s">
        <v>28</v>
      </c>
      <c r="K97" s="4" t="s">
        <v>23</v>
      </c>
      <c r="L97" s="4" t="s">
        <v>24</v>
      </c>
      <c r="M97" s="22">
        <v>45310</v>
      </c>
      <c r="N97" s="4">
        <v>749.95</v>
      </c>
    </row>
    <row r="98" spans="1:14" ht="15.75" customHeight="1">
      <c r="A98" s="4" t="s">
        <v>227</v>
      </c>
      <c r="B98" s="22">
        <v>45528</v>
      </c>
      <c r="C98" s="4" t="s">
        <v>228</v>
      </c>
      <c r="D98" s="4" t="s">
        <v>229</v>
      </c>
      <c r="E98" s="4" t="s">
        <v>116</v>
      </c>
      <c r="F98" s="4" t="s">
        <v>117</v>
      </c>
      <c r="G98" s="4" t="s">
        <v>35</v>
      </c>
      <c r="H98" s="4">
        <v>3</v>
      </c>
      <c r="I98" s="4">
        <v>79.989999999999995</v>
      </c>
      <c r="J98" s="4" t="s">
        <v>22</v>
      </c>
      <c r="K98" s="4" t="s">
        <v>23</v>
      </c>
      <c r="L98" s="4" t="s">
        <v>29</v>
      </c>
      <c r="M98" s="22">
        <v>44779</v>
      </c>
      <c r="N98" s="4">
        <v>239.97</v>
      </c>
    </row>
    <row r="99" spans="1:14" ht="15.75" customHeight="1">
      <c r="A99" s="4" t="s">
        <v>230</v>
      </c>
      <c r="B99" s="22">
        <v>45528</v>
      </c>
      <c r="C99" s="4" t="s">
        <v>146</v>
      </c>
      <c r="D99" s="4" t="s">
        <v>147</v>
      </c>
      <c r="E99" s="4" t="s">
        <v>19</v>
      </c>
      <c r="F99" s="4" t="s">
        <v>20</v>
      </c>
      <c r="G99" s="4" t="s">
        <v>21</v>
      </c>
      <c r="H99" s="4">
        <v>2</v>
      </c>
      <c r="I99" s="4">
        <v>249.99</v>
      </c>
      <c r="J99" s="4" t="s">
        <v>22</v>
      </c>
      <c r="K99" s="4" t="s">
        <v>37</v>
      </c>
      <c r="L99" s="4" t="s">
        <v>38</v>
      </c>
      <c r="M99" s="22">
        <v>44572</v>
      </c>
      <c r="N99" s="4">
        <v>499.98</v>
      </c>
    </row>
    <row r="100" spans="1:14" ht="15.75" customHeight="1">
      <c r="A100" s="4" t="s">
        <v>231</v>
      </c>
      <c r="B100" s="22">
        <v>45532</v>
      </c>
      <c r="C100" s="4" t="s">
        <v>198</v>
      </c>
      <c r="D100" s="4" t="s">
        <v>199</v>
      </c>
      <c r="E100" s="4" t="s">
        <v>82</v>
      </c>
      <c r="F100" s="4" t="s">
        <v>83</v>
      </c>
      <c r="G100" s="4" t="s">
        <v>21</v>
      </c>
      <c r="H100" s="4">
        <v>1</v>
      </c>
      <c r="I100" s="4">
        <v>699.99</v>
      </c>
      <c r="J100" s="4" t="s">
        <v>22</v>
      </c>
      <c r="K100" s="4" t="s">
        <v>23</v>
      </c>
      <c r="L100" s="4" t="s">
        <v>29</v>
      </c>
      <c r="M100" s="22">
        <v>44497</v>
      </c>
      <c r="N100" s="4">
        <v>699.99</v>
      </c>
    </row>
    <row r="101" spans="1:14" ht="15.75" customHeight="1">
      <c r="A101" s="4" t="s">
        <v>232</v>
      </c>
      <c r="B101" s="22">
        <v>45532</v>
      </c>
      <c r="C101" s="4" t="s">
        <v>233</v>
      </c>
      <c r="D101" s="4" t="s">
        <v>234</v>
      </c>
      <c r="E101" s="4" t="s">
        <v>54</v>
      </c>
      <c r="F101" s="4" t="s">
        <v>55</v>
      </c>
      <c r="G101" s="4" t="s">
        <v>21</v>
      </c>
      <c r="H101" s="4">
        <v>3</v>
      </c>
      <c r="I101" s="4">
        <v>149.99</v>
      </c>
      <c r="J101" s="4" t="s">
        <v>22</v>
      </c>
      <c r="K101" s="4" t="s">
        <v>52</v>
      </c>
      <c r="L101" s="4" t="s">
        <v>29</v>
      </c>
      <c r="M101" s="22">
        <v>45212</v>
      </c>
      <c r="N101" s="4">
        <v>449.97</v>
      </c>
    </row>
    <row r="102" spans="1:14" ht="15.75" customHeight="1">
      <c r="A102" s="4" t="s">
        <v>235</v>
      </c>
      <c r="B102" s="22">
        <v>45534</v>
      </c>
      <c r="C102" s="4" t="s">
        <v>236</v>
      </c>
      <c r="D102" s="4" t="s">
        <v>237</v>
      </c>
      <c r="E102" s="4" t="s">
        <v>82</v>
      </c>
      <c r="F102" s="4" t="s">
        <v>83</v>
      </c>
      <c r="G102" s="4" t="s">
        <v>21</v>
      </c>
      <c r="H102" s="4">
        <v>2</v>
      </c>
      <c r="I102" s="4">
        <v>699.99</v>
      </c>
      <c r="J102" s="4" t="s">
        <v>28</v>
      </c>
      <c r="K102" s="4" t="s">
        <v>42</v>
      </c>
      <c r="L102" s="4" t="s">
        <v>29</v>
      </c>
      <c r="M102" s="22">
        <v>44421</v>
      </c>
      <c r="N102" s="4">
        <v>1399.98</v>
      </c>
    </row>
    <row r="103" spans="1:14" ht="15.75" customHeight="1">
      <c r="A103" s="4" t="s">
        <v>238</v>
      </c>
      <c r="B103" s="22">
        <v>45537</v>
      </c>
      <c r="C103" s="4" t="s">
        <v>233</v>
      </c>
      <c r="D103" s="4" t="s">
        <v>234</v>
      </c>
      <c r="E103" s="4" t="s">
        <v>19</v>
      </c>
      <c r="F103" s="4" t="s">
        <v>20</v>
      </c>
      <c r="G103" s="4" t="s">
        <v>21</v>
      </c>
      <c r="H103" s="4">
        <v>1</v>
      </c>
      <c r="I103" s="4">
        <v>249.99</v>
      </c>
      <c r="J103" s="4" t="s">
        <v>28</v>
      </c>
      <c r="K103" s="4" t="s">
        <v>52</v>
      </c>
      <c r="L103" s="4" t="s">
        <v>29</v>
      </c>
      <c r="M103" s="22">
        <v>44685</v>
      </c>
      <c r="N103" s="4">
        <v>249.99</v>
      </c>
    </row>
    <row r="104" spans="1:14" ht="15.75" customHeight="1">
      <c r="A104" s="4" t="s">
        <v>239</v>
      </c>
      <c r="B104" s="22">
        <v>45537</v>
      </c>
      <c r="C104" s="4" t="s">
        <v>17</v>
      </c>
      <c r="D104" s="4" t="s">
        <v>18</v>
      </c>
      <c r="E104" s="4" t="s">
        <v>19</v>
      </c>
      <c r="F104" s="4" t="s">
        <v>20</v>
      </c>
      <c r="G104" s="4" t="s">
        <v>21</v>
      </c>
      <c r="H104" s="4">
        <v>1</v>
      </c>
      <c r="I104" s="4">
        <v>249.99</v>
      </c>
      <c r="J104" s="4" t="s">
        <v>59</v>
      </c>
      <c r="K104" s="4" t="s">
        <v>42</v>
      </c>
      <c r="L104" s="4" t="s">
        <v>29</v>
      </c>
      <c r="M104" s="22">
        <v>45332</v>
      </c>
      <c r="N104" s="4">
        <v>249.99</v>
      </c>
    </row>
    <row r="105" spans="1:14" ht="15.75" customHeight="1">
      <c r="A105" s="4" t="s">
        <v>240</v>
      </c>
      <c r="B105" s="22">
        <v>45538</v>
      </c>
      <c r="C105" s="4" t="s">
        <v>228</v>
      </c>
      <c r="D105" s="4" t="s">
        <v>229</v>
      </c>
      <c r="E105" s="4" t="s">
        <v>82</v>
      </c>
      <c r="F105" s="4" t="s">
        <v>83</v>
      </c>
      <c r="G105" s="4" t="s">
        <v>21</v>
      </c>
      <c r="H105" s="4">
        <v>2</v>
      </c>
      <c r="I105" s="4">
        <v>699.99</v>
      </c>
      <c r="J105" s="4" t="s">
        <v>59</v>
      </c>
      <c r="K105" s="4" t="s">
        <v>23</v>
      </c>
      <c r="L105" s="4" t="s">
        <v>29</v>
      </c>
      <c r="M105" s="22">
        <v>44870</v>
      </c>
      <c r="N105" s="4">
        <v>1399.98</v>
      </c>
    </row>
    <row r="106" spans="1:14" ht="15.75" customHeight="1">
      <c r="A106" s="4" t="s">
        <v>241</v>
      </c>
      <c r="B106" s="22">
        <v>45541</v>
      </c>
      <c r="C106" s="4" t="s">
        <v>140</v>
      </c>
      <c r="D106" s="4" t="s">
        <v>141</v>
      </c>
      <c r="E106" s="4" t="s">
        <v>33</v>
      </c>
      <c r="F106" s="4" t="s">
        <v>34</v>
      </c>
      <c r="G106" s="4" t="s">
        <v>35</v>
      </c>
      <c r="H106" s="4">
        <v>3</v>
      </c>
      <c r="I106" s="4">
        <v>59.99</v>
      </c>
      <c r="J106" s="4" t="s">
        <v>28</v>
      </c>
      <c r="K106" s="4" t="s">
        <v>23</v>
      </c>
      <c r="L106" s="4" t="s">
        <v>29</v>
      </c>
      <c r="M106" s="22">
        <v>44717</v>
      </c>
      <c r="N106" s="4">
        <v>179.97</v>
      </c>
    </row>
    <row r="107" spans="1:14" ht="15.75" customHeight="1">
      <c r="A107" s="4" t="s">
        <v>242</v>
      </c>
      <c r="B107" s="22">
        <v>45544</v>
      </c>
      <c r="C107" s="4" t="s">
        <v>134</v>
      </c>
      <c r="D107" s="4" t="s">
        <v>135</v>
      </c>
      <c r="E107" s="4" t="s">
        <v>33</v>
      </c>
      <c r="F107" s="4" t="s">
        <v>34</v>
      </c>
      <c r="G107" s="4" t="s">
        <v>35</v>
      </c>
      <c r="H107" s="4">
        <v>3</v>
      </c>
      <c r="I107" s="4">
        <v>59.99</v>
      </c>
      <c r="J107" s="4" t="s">
        <v>36</v>
      </c>
      <c r="K107" s="4" t="s">
        <v>65</v>
      </c>
      <c r="L107" s="4" t="s">
        <v>38</v>
      </c>
      <c r="M107" s="22">
        <v>44748</v>
      </c>
      <c r="N107" s="4">
        <v>179.97</v>
      </c>
    </row>
    <row r="108" spans="1:14" ht="15.75" customHeight="1">
      <c r="A108" s="4" t="s">
        <v>243</v>
      </c>
      <c r="B108" s="22">
        <v>45544</v>
      </c>
      <c r="C108" s="4" t="s">
        <v>143</v>
      </c>
      <c r="D108" s="4" t="s">
        <v>144</v>
      </c>
      <c r="E108" s="4" t="s">
        <v>116</v>
      </c>
      <c r="F108" s="4" t="s">
        <v>117</v>
      </c>
      <c r="G108" s="4" t="s">
        <v>35</v>
      </c>
      <c r="H108" s="4">
        <v>4</v>
      </c>
      <c r="I108" s="4">
        <v>79.989999999999995</v>
      </c>
      <c r="J108" s="4" t="s">
        <v>22</v>
      </c>
      <c r="K108" s="4" t="s">
        <v>42</v>
      </c>
      <c r="L108" s="4" t="s">
        <v>24</v>
      </c>
      <c r="M108" s="22">
        <v>44530</v>
      </c>
      <c r="N108" s="4">
        <v>319.95999999999998</v>
      </c>
    </row>
    <row r="109" spans="1:14" ht="15.75" customHeight="1">
      <c r="A109" s="4" t="s">
        <v>244</v>
      </c>
      <c r="B109" s="22">
        <v>45545</v>
      </c>
      <c r="C109" s="4" t="s">
        <v>57</v>
      </c>
      <c r="D109" s="4" t="s">
        <v>58</v>
      </c>
      <c r="E109" s="4" t="s">
        <v>116</v>
      </c>
      <c r="F109" s="4" t="s">
        <v>117</v>
      </c>
      <c r="G109" s="4" t="s">
        <v>35</v>
      </c>
      <c r="H109" s="4">
        <v>1</v>
      </c>
      <c r="I109" s="4">
        <v>79.989999999999995</v>
      </c>
      <c r="J109" s="4" t="s">
        <v>22</v>
      </c>
      <c r="K109" s="4" t="s">
        <v>52</v>
      </c>
      <c r="L109" s="4" t="s">
        <v>24</v>
      </c>
      <c r="M109" s="22">
        <v>44693</v>
      </c>
      <c r="N109" s="4">
        <v>79.989999999999995</v>
      </c>
    </row>
    <row r="110" spans="1:14" ht="15.75" customHeight="1">
      <c r="A110" s="4" t="s">
        <v>245</v>
      </c>
      <c r="B110" s="22">
        <v>45547</v>
      </c>
      <c r="C110" s="4" t="s">
        <v>50</v>
      </c>
      <c r="D110" s="4" t="s">
        <v>51</v>
      </c>
      <c r="E110" s="4" t="s">
        <v>107</v>
      </c>
      <c r="F110" s="4" t="s">
        <v>108</v>
      </c>
      <c r="G110" s="4" t="s">
        <v>48</v>
      </c>
      <c r="H110" s="4">
        <v>3</v>
      </c>
      <c r="I110" s="4">
        <v>299.99</v>
      </c>
      <c r="J110" s="4" t="s">
        <v>28</v>
      </c>
      <c r="K110" s="4" t="s">
        <v>23</v>
      </c>
      <c r="L110" s="4" t="s">
        <v>29</v>
      </c>
      <c r="M110" s="22">
        <v>44494</v>
      </c>
      <c r="N110" s="4">
        <v>899.97</v>
      </c>
    </row>
    <row r="111" spans="1:14" ht="15.75" customHeight="1">
      <c r="A111" s="4" t="s">
        <v>246</v>
      </c>
      <c r="B111" s="22">
        <v>45548</v>
      </c>
      <c r="C111" s="4" t="s">
        <v>40</v>
      </c>
      <c r="D111" s="4" t="s">
        <v>41</v>
      </c>
      <c r="E111" s="4" t="s">
        <v>119</v>
      </c>
      <c r="F111" s="4" t="s">
        <v>120</v>
      </c>
      <c r="G111" s="4" t="s">
        <v>21</v>
      </c>
      <c r="H111" s="4">
        <v>2</v>
      </c>
      <c r="I111" s="4">
        <v>89.99</v>
      </c>
      <c r="J111" s="4" t="s">
        <v>28</v>
      </c>
      <c r="K111" s="4" t="s">
        <v>37</v>
      </c>
      <c r="L111" s="4" t="s">
        <v>29</v>
      </c>
      <c r="M111" s="22">
        <v>44641</v>
      </c>
      <c r="N111" s="4">
        <v>179.98</v>
      </c>
    </row>
    <row r="112" spans="1:14" ht="15.75" customHeight="1">
      <c r="A112" s="4" t="s">
        <v>247</v>
      </c>
      <c r="B112" s="22">
        <v>45550</v>
      </c>
      <c r="C112" s="4" t="s">
        <v>248</v>
      </c>
      <c r="D112" s="4" t="s">
        <v>249</v>
      </c>
      <c r="E112" s="4" t="s">
        <v>54</v>
      </c>
      <c r="F112" s="4" t="s">
        <v>55</v>
      </c>
      <c r="G112" s="4" t="s">
        <v>21</v>
      </c>
      <c r="H112" s="4">
        <v>4</v>
      </c>
      <c r="I112" s="4">
        <v>149.99</v>
      </c>
      <c r="J112" s="4" t="s">
        <v>22</v>
      </c>
      <c r="K112" s="4" t="s">
        <v>42</v>
      </c>
      <c r="L112" s="4" t="s">
        <v>24</v>
      </c>
      <c r="M112" s="22">
        <v>44909</v>
      </c>
      <c r="N112" s="4">
        <v>599.96</v>
      </c>
    </row>
    <row r="113" spans="1:14" ht="15.75" customHeight="1">
      <c r="A113" s="4" t="s">
        <v>250</v>
      </c>
      <c r="B113" s="22">
        <v>45551</v>
      </c>
      <c r="C113" s="4" t="s">
        <v>67</v>
      </c>
      <c r="D113" s="4" t="s">
        <v>68</v>
      </c>
      <c r="E113" s="4" t="s">
        <v>19</v>
      </c>
      <c r="F113" s="4" t="s">
        <v>20</v>
      </c>
      <c r="G113" s="4" t="s">
        <v>21</v>
      </c>
      <c r="H113" s="4">
        <v>2</v>
      </c>
      <c r="I113" s="4">
        <v>249.99</v>
      </c>
      <c r="J113" s="4" t="s">
        <v>36</v>
      </c>
      <c r="K113" s="4" t="s">
        <v>37</v>
      </c>
      <c r="L113" s="4" t="s">
        <v>24</v>
      </c>
      <c r="M113" s="22">
        <v>44993</v>
      </c>
      <c r="N113" s="4">
        <v>499.98</v>
      </c>
    </row>
    <row r="114" spans="1:14" ht="15.75" customHeight="1">
      <c r="A114" s="4" t="s">
        <v>251</v>
      </c>
      <c r="B114" s="22">
        <v>45551</v>
      </c>
      <c r="C114" s="4" t="s">
        <v>156</v>
      </c>
      <c r="D114" s="4" t="s">
        <v>157</v>
      </c>
      <c r="E114" s="4" t="s">
        <v>128</v>
      </c>
      <c r="F114" s="4" t="s">
        <v>129</v>
      </c>
      <c r="G114" s="4" t="s">
        <v>48</v>
      </c>
      <c r="H114" s="4">
        <v>4</v>
      </c>
      <c r="I114" s="4">
        <v>199.99</v>
      </c>
      <c r="J114" s="4" t="s">
        <v>59</v>
      </c>
      <c r="K114" s="4" t="s">
        <v>65</v>
      </c>
      <c r="L114" s="4" t="s">
        <v>24</v>
      </c>
      <c r="M114" s="22">
        <v>44458</v>
      </c>
      <c r="N114" s="4">
        <v>799.96</v>
      </c>
    </row>
    <row r="115" spans="1:14" ht="15.75" customHeight="1">
      <c r="A115" s="4" t="s">
        <v>252</v>
      </c>
      <c r="B115" s="22">
        <v>45554</v>
      </c>
      <c r="C115" s="4" t="s">
        <v>149</v>
      </c>
      <c r="D115" s="4" t="s">
        <v>150</v>
      </c>
      <c r="E115" s="4" t="s">
        <v>119</v>
      </c>
      <c r="F115" s="4" t="s">
        <v>120</v>
      </c>
      <c r="G115" s="4" t="s">
        <v>21</v>
      </c>
      <c r="H115" s="4">
        <v>5</v>
      </c>
      <c r="I115" s="4">
        <v>89.99</v>
      </c>
      <c r="J115" s="4" t="s">
        <v>28</v>
      </c>
      <c r="K115" s="4" t="s">
        <v>65</v>
      </c>
      <c r="L115" s="4" t="s">
        <v>29</v>
      </c>
      <c r="M115" s="22">
        <v>44446</v>
      </c>
      <c r="N115" s="4">
        <v>449.95</v>
      </c>
    </row>
    <row r="116" spans="1:14" ht="15.75" customHeight="1">
      <c r="A116" s="4" t="s">
        <v>253</v>
      </c>
      <c r="B116" s="22">
        <v>45554</v>
      </c>
      <c r="C116" s="4" t="s">
        <v>254</v>
      </c>
      <c r="D116" s="4" t="s">
        <v>255</v>
      </c>
      <c r="E116" s="4" t="s">
        <v>54</v>
      </c>
      <c r="F116" s="4" t="s">
        <v>55</v>
      </c>
      <c r="G116" s="4" t="s">
        <v>21</v>
      </c>
      <c r="H116" s="4">
        <v>1</v>
      </c>
      <c r="I116" s="4">
        <v>149.99</v>
      </c>
      <c r="J116" s="4" t="s">
        <v>36</v>
      </c>
      <c r="K116" s="4" t="s">
        <v>65</v>
      </c>
      <c r="L116" s="4" t="s">
        <v>38</v>
      </c>
      <c r="M116" s="22">
        <v>44482</v>
      </c>
      <c r="N116" s="4">
        <v>149.99</v>
      </c>
    </row>
    <row r="117" spans="1:14" ht="15.75" customHeight="1">
      <c r="A117" s="4" t="s">
        <v>256</v>
      </c>
      <c r="B117" s="22">
        <v>45554</v>
      </c>
      <c r="C117" s="4" t="s">
        <v>74</v>
      </c>
      <c r="D117" s="4" t="s">
        <v>75</v>
      </c>
      <c r="E117" s="4" t="s">
        <v>82</v>
      </c>
      <c r="F117" s="4" t="s">
        <v>83</v>
      </c>
      <c r="G117" s="4" t="s">
        <v>21</v>
      </c>
      <c r="H117" s="4">
        <v>4</v>
      </c>
      <c r="I117" s="4">
        <v>699.99</v>
      </c>
      <c r="J117" s="4" t="s">
        <v>36</v>
      </c>
      <c r="K117" s="4" t="s">
        <v>37</v>
      </c>
      <c r="L117" s="4" t="s">
        <v>24</v>
      </c>
      <c r="M117" s="22">
        <v>44618</v>
      </c>
      <c r="N117" s="4">
        <v>2799.96</v>
      </c>
    </row>
    <row r="118" spans="1:14" ht="15.75" customHeight="1">
      <c r="A118" s="4" t="s">
        <v>257</v>
      </c>
      <c r="B118" s="22">
        <v>45559</v>
      </c>
      <c r="C118" s="4" t="s">
        <v>236</v>
      </c>
      <c r="D118" s="4" t="s">
        <v>237</v>
      </c>
      <c r="E118" s="4" t="s">
        <v>63</v>
      </c>
      <c r="F118" s="4" t="s">
        <v>64</v>
      </c>
      <c r="G118" s="4" t="s">
        <v>21</v>
      </c>
      <c r="H118" s="4">
        <v>3</v>
      </c>
      <c r="I118" s="4">
        <v>899.99</v>
      </c>
      <c r="J118" s="4" t="s">
        <v>28</v>
      </c>
      <c r="K118" s="4" t="s">
        <v>42</v>
      </c>
      <c r="L118" s="4" t="s">
        <v>38</v>
      </c>
      <c r="M118" s="22">
        <v>45157</v>
      </c>
      <c r="N118" s="4">
        <v>2699.97</v>
      </c>
    </row>
    <row r="119" spans="1:14" ht="15.75" customHeight="1">
      <c r="A119" s="4" t="s">
        <v>258</v>
      </c>
      <c r="B119" s="22">
        <v>45560</v>
      </c>
      <c r="C119" s="4" t="s">
        <v>114</v>
      </c>
      <c r="D119" s="4" t="s">
        <v>115</v>
      </c>
      <c r="E119" s="4" t="s">
        <v>46</v>
      </c>
      <c r="F119" s="4" t="s">
        <v>47</v>
      </c>
      <c r="G119" s="4" t="s">
        <v>48</v>
      </c>
      <c r="H119" s="4">
        <v>3</v>
      </c>
      <c r="I119" s="4">
        <v>149.99</v>
      </c>
      <c r="J119" s="4" t="s">
        <v>36</v>
      </c>
      <c r="K119" s="4" t="s">
        <v>65</v>
      </c>
      <c r="L119" s="4" t="s">
        <v>24</v>
      </c>
      <c r="M119" s="22">
        <v>44886</v>
      </c>
      <c r="N119" s="4">
        <v>449.97</v>
      </c>
    </row>
    <row r="120" spans="1:14" ht="15.75" customHeight="1">
      <c r="A120" s="4" t="s">
        <v>259</v>
      </c>
      <c r="B120" s="22">
        <v>45563</v>
      </c>
      <c r="C120" s="4" t="s">
        <v>101</v>
      </c>
      <c r="D120" s="4" t="s">
        <v>102</v>
      </c>
      <c r="E120" s="4" t="s">
        <v>107</v>
      </c>
      <c r="F120" s="4" t="s">
        <v>108</v>
      </c>
      <c r="G120" s="4" t="s">
        <v>48</v>
      </c>
      <c r="H120" s="4">
        <v>2</v>
      </c>
      <c r="I120" s="4">
        <v>299.99</v>
      </c>
      <c r="J120" s="4" t="s">
        <v>59</v>
      </c>
      <c r="K120" s="4" t="s">
        <v>23</v>
      </c>
      <c r="L120" s="4" t="s">
        <v>24</v>
      </c>
      <c r="M120" s="22">
        <v>44569</v>
      </c>
      <c r="N120" s="4">
        <v>599.98</v>
      </c>
    </row>
    <row r="121" spans="1:14" ht="15.75" customHeight="1">
      <c r="A121" s="4" t="s">
        <v>260</v>
      </c>
      <c r="B121" s="22">
        <v>45564</v>
      </c>
      <c r="C121" s="4" t="s">
        <v>261</v>
      </c>
      <c r="D121" s="4" t="s">
        <v>262</v>
      </c>
      <c r="E121" s="4" t="s">
        <v>128</v>
      </c>
      <c r="F121" s="4" t="s">
        <v>129</v>
      </c>
      <c r="G121" s="4" t="s">
        <v>48</v>
      </c>
      <c r="H121" s="4">
        <v>1</v>
      </c>
      <c r="I121" s="4">
        <v>199.99</v>
      </c>
      <c r="J121" s="4" t="s">
        <v>59</v>
      </c>
      <c r="K121" s="4" t="s">
        <v>65</v>
      </c>
      <c r="L121" s="4" t="s">
        <v>38</v>
      </c>
      <c r="M121" s="22">
        <v>44953</v>
      </c>
      <c r="N121" s="4">
        <v>199.99</v>
      </c>
    </row>
    <row r="122" spans="1:14" ht="15.75" customHeight="1">
      <c r="A122" s="4" t="s">
        <v>263</v>
      </c>
      <c r="B122" s="22">
        <v>45566</v>
      </c>
      <c r="C122" s="4" t="s">
        <v>44</v>
      </c>
      <c r="D122" s="4" t="s">
        <v>45</v>
      </c>
      <c r="E122" s="4" t="s">
        <v>107</v>
      </c>
      <c r="F122" s="4" t="s">
        <v>108</v>
      </c>
      <c r="G122" s="4" t="s">
        <v>48</v>
      </c>
      <c r="H122" s="4">
        <v>4</v>
      </c>
      <c r="I122" s="4">
        <v>299.99</v>
      </c>
      <c r="J122" s="4" t="s">
        <v>22</v>
      </c>
      <c r="K122" s="4" t="s">
        <v>23</v>
      </c>
      <c r="L122" s="4" t="s">
        <v>29</v>
      </c>
      <c r="M122" s="22">
        <v>44460</v>
      </c>
      <c r="N122" s="4">
        <v>1199.96</v>
      </c>
    </row>
    <row r="123" spans="1:14" ht="15.75" customHeight="1">
      <c r="A123" s="4" t="s">
        <v>264</v>
      </c>
      <c r="B123" s="22">
        <v>45572</v>
      </c>
      <c r="C123" s="4" t="s">
        <v>91</v>
      </c>
      <c r="D123" s="4" t="s">
        <v>92</v>
      </c>
      <c r="E123" s="4" t="s">
        <v>33</v>
      </c>
      <c r="F123" s="4" t="s">
        <v>34</v>
      </c>
      <c r="G123" s="4" t="s">
        <v>35</v>
      </c>
      <c r="H123" s="4">
        <v>2</v>
      </c>
      <c r="I123" s="4">
        <v>59.99</v>
      </c>
      <c r="J123" s="4" t="s">
        <v>28</v>
      </c>
      <c r="K123" s="4" t="s">
        <v>23</v>
      </c>
      <c r="L123" s="4" t="s">
        <v>24</v>
      </c>
      <c r="M123" s="22">
        <v>44579</v>
      </c>
      <c r="N123" s="4">
        <v>119.98</v>
      </c>
    </row>
    <row r="124" spans="1:14" ht="15.75" customHeight="1">
      <c r="A124" s="4" t="s">
        <v>265</v>
      </c>
      <c r="B124" s="22">
        <v>45572</v>
      </c>
      <c r="C124" s="4" t="s">
        <v>236</v>
      </c>
      <c r="D124" s="4" t="s">
        <v>237</v>
      </c>
      <c r="E124" s="4" t="s">
        <v>54</v>
      </c>
      <c r="F124" s="4" t="s">
        <v>55</v>
      </c>
      <c r="G124" s="4" t="s">
        <v>21</v>
      </c>
      <c r="H124" s="4">
        <v>4</v>
      </c>
      <c r="I124" s="4">
        <v>149.99</v>
      </c>
      <c r="J124" s="4" t="s">
        <v>28</v>
      </c>
      <c r="K124" s="4" t="s">
        <v>42</v>
      </c>
      <c r="L124" s="4" t="s">
        <v>29</v>
      </c>
      <c r="M124" s="22">
        <v>45076</v>
      </c>
      <c r="N124" s="4">
        <v>599.96</v>
      </c>
    </row>
    <row r="125" spans="1:14" ht="15.75" customHeight="1">
      <c r="A125" s="4" t="s">
        <v>266</v>
      </c>
      <c r="B125" s="22">
        <v>45573</v>
      </c>
      <c r="C125" s="4" t="s">
        <v>213</v>
      </c>
      <c r="D125" s="4" t="s">
        <v>214</v>
      </c>
      <c r="E125" s="4" t="s">
        <v>82</v>
      </c>
      <c r="F125" s="4" t="s">
        <v>83</v>
      </c>
      <c r="G125" s="4" t="s">
        <v>21</v>
      </c>
      <c r="H125" s="4">
        <v>2</v>
      </c>
      <c r="I125" s="4">
        <v>699.99</v>
      </c>
      <c r="J125" s="4" t="s">
        <v>59</v>
      </c>
      <c r="K125" s="4" t="s">
        <v>65</v>
      </c>
      <c r="L125" s="4" t="s">
        <v>29</v>
      </c>
      <c r="M125" s="22">
        <v>45274</v>
      </c>
      <c r="N125" s="4">
        <v>1399.98</v>
      </c>
    </row>
    <row r="126" spans="1:14" ht="15.75" customHeight="1">
      <c r="A126" s="4" t="s">
        <v>267</v>
      </c>
      <c r="B126" s="22">
        <v>45573</v>
      </c>
      <c r="C126" s="4" t="s">
        <v>233</v>
      </c>
      <c r="D126" s="4" t="s">
        <v>234</v>
      </c>
      <c r="E126" s="4" t="s">
        <v>46</v>
      </c>
      <c r="F126" s="4" t="s">
        <v>47</v>
      </c>
      <c r="G126" s="4" t="s">
        <v>48</v>
      </c>
      <c r="H126" s="4">
        <v>3</v>
      </c>
      <c r="I126" s="4">
        <v>149.99</v>
      </c>
      <c r="J126" s="4" t="s">
        <v>28</v>
      </c>
      <c r="K126" s="4" t="s">
        <v>37</v>
      </c>
      <c r="L126" s="4" t="s">
        <v>38</v>
      </c>
      <c r="M126" s="22">
        <v>44940</v>
      </c>
      <c r="N126" s="4">
        <v>449.97</v>
      </c>
    </row>
    <row r="127" spans="1:14" ht="15.75" customHeight="1">
      <c r="A127" s="4" t="s">
        <v>268</v>
      </c>
      <c r="B127" s="22">
        <v>45576</v>
      </c>
      <c r="C127" s="4" t="s">
        <v>149</v>
      </c>
      <c r="D127" s="4" t="s">
        <v>150</v>
      </c>
      <c r="E127" s="4" t="s">
        <v>107</v>
      </c>
      <c r="F127" s="4" t="s">
        <v>108</v>
      </c>
      <c r="G127" s="4" t="s">
        <v>48</v>
      </c>
      <c r="H127" s="4">
        <v>3</v>
      </c>
      <c r="I127" s="4">
        <v>299.99</v>
      </c>
      <c r="J127" s="4" t="s">
        <v>28</v>
      </c>
      <c r="K127" s="4" t="s">
        <v>23</v>
      </c>
      <c r="L127" s="4" t="s">
        <v>38</v>
      </c>
      <c r="M127" s="22">
        <v>45174</v>
      </c>
      <c r="N127" s="4">
        <v>899.97</v>
      </c>
    </row>
    <row r="128" spans="1:14" ht="15.75" customHeight="1">
      <c r="A128" s="4" t="s">
        <v>269</v>
      </c>
      <c r="B128" s="22">
        <v>45579</v>
      </c>
      <c r="C128" s="4" t="s">
        <v>85</v>
      </c>
      <c r="D128" s="4" t="s">
        <v>86</v>
      </c>
      <c r="E128" s="4" t="s">
        <v>63</v>
      </c>
      <c r="F128" s="4" t="s">
        <v>64</v>
      </c>
      <c r="G128" s="4" t="s">
        <v>21</v>
      </c>
      <c r="H128" s="4">
        <v>3</v>
      </c>
      <c r="I128" s="4">
        <v>899.99</v>
      </c>
      <c r="J128" s="4" t="s">
        <v>36</v>
      </c>
      <c r="K128" s="4" t="s">
        <v>52</v>
      </c>
      <c r="L128" s="4" t="s">
        <v>24</v>
      </c>
      <c r="M128" s="22">
        <v>45215</v>
      </c>
      <c r="N128" s="4">
        <v>2699.97</v>
      </c>
    </row>
    <row r="129" spans="1:14" ht="15.75" customHeight="1">
      <c r="A129" s="4" t="s">
        <v>270</v>
      </c>
      <c r="B129" s="22">
        <v>45581</v>
      </c>
      <c r="C129" s="4" t="s">
        <v>98</v>
      </c>
      <c r="D129" s="4" t="s">
        <v>99</v>
      </c>
      <c r="E129" s="4" t="s">
        <v>82</v>
      </c>
      <c r="F129" s="4" t="s">
        <v>83</v>
      </c>
      <c r="G129" s="4" t="s">
        <v>21</v>
      </c>
      <c r="H129" s="4">
        <v>5</v>
      </c>
      <c r="I129" s="4">
        <v>699.99</v>
      </c>
      <c r="J129" s="4" t="s">
        <v>22</v>
      </c>
      <c r="K129" s="4" t="s">
        <v>65</v>
      </c>
      <c r="L129" s="4" t="s">
        <v>38</v>
      </c>
      <c r="M129" s="22">
        <v>45008</v>
      </c>
      <c r="N129" s="4">
        <v>3499.95</v>
      </c>
    </row>
    <row r="130" spans="1:14" ht="15.75" customHeight="1">
      <c r="A130" s="4" t="s">
        <v>271</v>
      </c>
      <c r="B130" s="22">
        <v>45581</v>
      </c>
      <c r="C130" s="4" t="s">
        <v>173</v>
      </c>
      <c r="D130" s="4" t="s">
        <v>174</v>
      </c>
      <c r="E130" s="4" t="s">
        <v>82</v>
      </c>
      <c r="F130" s="4" t="s">
        <v>83</v>
      </c>
      <c r="G130" s="4" t="s">
        <v>21</v>
      </c>
      <c r="H130" s="4">
        <v>4</v>
      </c>
      <c r="I130" s="4">
        <v>699.99</v>
      </c>
      <c r="J130" s="4" t="s">
        <v>28</v>
      </c>
      <c r="K130" s="4" t="s">
        <v>23</v>
      </c>
      <c r="L130" s="4" t="s">
        <v>24</v>
      </c>
      <c r="M130" s="22">
        <v>45385</v>
      </c>
      <c r="N130" s="4">
        <v>2799.96</v>
      </c>
    </row>
    <row r="131" spans="1:14" ht="15.75" customHeight="1">
      <c r="A131" s="4" t="s">
        <v>272</v>
      </c>
      <c r="B131" s="22">
        <v>45581</v>
      </c>
      <c r="C131" s="4" t="s">
        <v>152</v>
      </c>
      <c r="D131" s="4" t="s">
        <v>153</v>
      </c>
      <c r="E131" s="4" t="s">
        <v>63</v>
      </c>
      <c r="F131" s="4" t="s">
        <v>64</v>
      </c>
      <c r="G131" s="4" t="s">
        <v>21</v>
      </c>
      <c r="H131" s="4">
        <v>1</v>
      </c>
      <c r="I131" s="4">
        <v>899.99</v>
      </c>
      <c r="J131" s="4" t="s">
        <v>28</v>
      </c>
      <c r="K131" s="4" t="s">
        <v>65</v>
      </c>
      <c r="L131" s="4" t="s">
        <v>38</v>
      </c>
      <c r="M131" s="22">
        <v>45369</v>
      </c>
      <c r="N131" s="4">
        <v>899.99</v>
      </c>
    </row>
    <row r="132" spans="1:14" ht="15.75" customHeight="1">
      <c r="A132" s="4" t="s">
        <v>273</v>
      </c>
      <c r="B132" s="22">
        <v>45583</v>
      </c>
      <c r="C132" s="4" t="s">
        <v>228</v>
      </c>
      <c r="D132" s="4" t="s">
        <v>229</v>
      </c>
      <c r="E132" s="4" t="s">
        <v>54</v>
      </c>
      <c r="F132" s="4" t="s">
        <v>55</v>
      </c>
      <c r="G132" s="4" t="s">
        <v>21</v>
      </c>
      <c r="H132" s="4">
        <v>2</v>
      </c>
      <c r="I132" s="4">
        <v>149.99</v>
      </c>
      <c r="J132" s="4" t="s">
        <v>28</v>
      </c>
      <c r="K132" s="4" t="s">
        <v>52</v>
      </c>
      <c r="L132" s="4" t="s">
        <v>24</v>
      </c>
      <c r="M132" s="22">
        <v>44916</v>
      </c>
      <c r="N132" s="4">
        <v>299.98</v>
      </c>
    </row>
    <row r="133" spans="1:14" ht="15.75" customHeight="1">
      <c r="A133" s="4" t="s">
        <v>274</v>
      </c>
      <c r="B133" s="22">
        <v>45586</v>
      </c>
      <c r="C133" s="4" t="s">
        <v>228</v>
      </c>
      <c r="D133" s="4" t="s">
        <v>229</v>
      </c>
      <c r="E133" s="4" t="s">
        <v>119</v>
      </c>
      <c r="F133" s="4" t="s">
        <v>120</v>
      </c>
      <c r="G133" s="4" t="s">
        <v>21</v>
      </c>
      <c r="H133" s="4">
        <v>3</v>
      </c>
      <c r="I133" s="4">
        <v>89.99</v>
      </c>
      <c r="J133" s="4" t="s">
        <v>36</v>
      </c>
      <c r="K133" s="4" t="s">
        <v>23</v>
      </c>
      <c r="L133" s="4" t="s">
        <v>24</v>
      </c>
      <c r="M133" s="22">
        <v>44551</v>
      </c>
      <c r="N133" s="4">
        <v>269.97000000000003</v>
      </c>
    </row>
    <row r="134" spans="1:14" ht="15.75" customHeight="1">
      <c r="A134" s="4" t="s">
        <v>275</v>
      </c>
      <c r="B134" s="22">
        <v>45588</v>
      </c>
      <c r="C134" s="4" t="s">
        <v>40</v>
      </c>
      <c r="D134" s="4" t="s">
        <v>41</v>
      </c>
      <c r="E134" s="4" t="s">
        <v>54</v>
      </c>
      <c r="F134" s="4" t="s">
        <v>55</v>
      </c>
      <c r="G134" s="4" t="s">
        <v>21</v>
      </c>
      <c r="H134" s="4">
        <v>2</v>
      </c>
      <c r="I134" s="4">
        <v>149.99</v>
      </c>
      <c r="J134" s="4" t="s">
        <v>36</v>
      </c>
      <c r="K134" s="4" t="s">
        <v>23</v>
      </c>
      <c r="L134" s="4" t="s">
        <v>24</v>
      </c>
      <c r="M134" s="22">
        <v>44473</v>
      </c>
      <c r="N134" s="4">
        <v>299.98</v>
      </c>
    </row>
    <row r="135" spans="1:14" ht="15.75" customHeight="1">
      <c r="A135" s="4" t="s">
        <v>276</v>
      </c>
      <c r="B135" s="22">
        <v>45588</v>
      </c>
      <c r="C135" s="4" t="s">
        <v>156</v>
      </c>
      <c r="D135" s="4" t="s">
        <v>157</v>
      </c>
      <c r="E135" s="4" t="s">
        <v>82</v>
      </c>
      <c r="F135" s="4" t="s">
        <v>83</v>
      </c>
      <c r="G135" s="4" t="s">
        <v>21</v>
      </c>
      <c r="H135" s="4">
        <v>2</v>
      </c>
      <c r="I135" s="4">
        <v>699.99</v>
      </c>
      <c r="J135" s="4" t="s">
        <v>22</v>
      </c>
      <c r="K135" s="4" t="s">
        <v>23</v>
      </c>
      <c r="L135" s="4" t="s">
        <v>24</v>
      </c>
      <c r="M135" s="22">
        <v>44992</v>
      </c>
      <c r="N135" s="4">
        <v>1399.98</v>
      </c>
    </row>
    <row r="136" spans="1:14" ht="15.75" customHeight="1">
      <c r="A136" s="4" t="s">
        <v>277</v>
      </c>
      <c r="B136" s="22">
        <v>45589</v>
      </c>
      <c r="C136" s="4" t="s">
        <v>160</v>
      </c>
      <c r="D136" s="4" t="s">
        <v>161</v>
      </c>
      <c r="E136" s="4" t="s">
        <v>82</v>
      </c>
      <c r="F136" s="4" t="s">
        <v>83</v>
      </c>
      <c r="G136" s="4" t="s">
        <v>21</v>
      </c>
      <c r="H136" s="4">
        <v>5</v>
      </c>
      <c r="I136" s="4">
        <v>699.99</v>
      </c>
      <c r="J136" s="4" t="s">
        <v>22</v>
      </c>
      <c r="K136" s="4" t="s">
        <v>42</v>
      </c>
      <c r="L136" s="4" t="s">
        <v>29</v>
      </c>
      <c r="M136" s="22">
        <v>44635</v>
      </c>
      <c r="N136" s="4">
        <v>3499.95</v>
      </c>
    </row>
    <row r="137" spans="1:14" ht="15.75" customHeight="1">
      <c r="A137" s="4" t="s">
        <v>278</v>
      </c>
      <c r="B137" s="22">
        <v>45592</v>
      </c>
      <c r="C137" s="4" t="s">
        <v>173</v>
      </c>
      <c r="D137" s="4" t="s">
        <v>174</v>
      </c>
      <c r="E137" s="4" t="s">
        <v>119</v>
      </c>
      <c r="F137" s="4" t="s">
        <v>120</v>
      </c>
      <c r="G137" s="4" t="s">
        <v>21</v>
      </c>
      <c r="H137" s="4">
        <v>3</v>
      </c>
      <c r="I137" s="4">
        <v>89.99</v>
      </c>
      <c r="J137" s="4" t="s">
        <v>28</v>
      </c>
      <c r="K137" s="4" t="s">
        <v>42</v>
      </c>
      <c r="L137" s="4" t="s">
        <v>38</v>
      </c>
      <c r="M137" s="22">
        <v>44615</v>
      </c>
      <c r="N137" s="4">
        <v>269.97000000000003</v>
      </c>
    </row>
    <row r="138" spans="1:14" ht="15.75" customHeight="1">
      <c r="A138" s="4" t="s">
        <v>279</v>
      </c>
      <c r="B138" s="22">
        <v>45597</v>
      </c>
      <c r="C138" s="4" t="s">
        <v>17</v>
      </c>
      <c r="D138" s="4" t="s">
        <v>18</v>
      </c>
      <c r="E138" s="4" t="s">
        <v>19</v>
      </c>
      <c r="F138" s="4" t="s">
        <v>20</v>
      </c>
      <c r="G138" s="4" t="s">
        <v>21</v>
      </c>
      <c r="H138" s="4">
        <v>5</v>
      </c>
      <c r="I138" s="4">
        <v>249.99</v>
      </c>
      <c r="J138" s="4" t="s">
        <v>28</v>
      </c>
      <c r="K138" s="4" t="s">
        <v>37</v>
      </c>
      <c r="L138" s="4" t="s">
        <v>38</v>
      </c>
      <c r="M138" s="22">
        <v>44881</v>
      </c>
      <c r="N138" s="4">
        <v>1249.95</v>
      </c>
    </row>
    <row r="139" spans="1:14" ht="15.75" customHeight="1">
      <c r="A139" s="4" t="s">
        <v>280</v>
      </c>
      <c r="B139" s="22">
        <v>45600</v>
      </c>
      <c r="C139" s="4" t="s">
        <v>67</v>
      </c>
      <c r="D139" s="4" t="s">
        <v>68</v>
      </c>
      <c r="E139" s="4" t="s">
        <v>107</v>
      </c>
      <c r="F139" s="4" t="s">
        <v>108</v>
      </c>
      <c r="G139" s="4" t="s">
        <v>48</v>
      </c>
      <c r="H139" s="4">
        <v>3</v>
      </c>
      <c r="I139" s="4">
        <v>299.99</v>
      </c>
      <c r="J139" s="4" t="s">
        <v>28</v>
      </c>
      <c r="K139" s="4" t="s">
        <v>37</v>
      </c>
      <c r="L139" s="4" t="s">
        <v>38</v>
      </c>
      <c r="M139" s="22">
        <v>44502</v>
      </c>
      <c r="N139" s="4">
        <v>899.97</v>
      </c>
    </row>
    <row r="140" spans="1:14" ht="15.75" customHeight="1">
      <c r="A140" s="4" t="s">
        <v>281</v>
      </c>
      <c r="B140" s="22">
        <v>45603</v>
      </c>
      <c r="C140" s="4" t="s">
        <v>101</v>
      </c>
      <c r="D140" s="4" t="s">
        <v>102</v>
      </c>
      <c r="E140" s="4" t="s">
        <v>119</v>
      </c>
      <c r="F140" s="4" t="s">
        <v>120</v>
      </c>
      <c r="G140" s="4" t="s">
        <v>21</v>
      </c>
      <c r="H140" s="4">
        <v>3</v>
      </c>
      <c r="I140" s="4">
        <v>89.99</v>
      </c>
      <c r="J140" s="4" t="s">
        <v>28</v>
      </c>
      <c r="K140" s="4" t="s">
        <v>42</v>
      </c>
      <c r="L140" s="4" t="s">
        <v>29</v>
      </c>
      <c r="M140" s="22">
        <v>44420</v>
      </c>
      <c r="N140" s="4">
        <v>269.97000000000003</v>
      </c>
    </row>
    <row r="141" spans="1:14" ht="15.75" customHeight="1">
      <c r="A141" s="4" t="s">
        <v>282</v>
      </c>
      <c r="B141" s="22">
        <v>45604</v>
      </c>
      <c r="C141" s="4" t="s">
        <v>91</v>
      </c>
      <c r="D141" s="4" t="s">
        <v>92</v>
      </c>
      <c r="E141" s="4" t="s">
        <v>46</v>
      </c>
      <c r="F141" s="4" t="s">
        <v>47</v>
      </c>
      <c r="G141" s="4" t="s">
        <v>48</v>
      </c>
      <c r="H141" s="4">
        <v>2</v>
      </c>
      <c r="I141" s="4">
        <v>149.99</v>
      </c>
      <c r="J141" s="4" t="s">
        <v>28</v>
      </c>
      <c r="K141" s="4" t="s">
        <v>52</v>
      </c>
      <c r="L141" s="4" t="s">
        <v>29</v>
      </c>
      <c r="M141" s="22">
        <v>44848</v>
      </c>
      <c r="N141" s="4">
        <v>299.98</v>
      </c>
    </row>
    <row r="142" spans="1:14" ht="15.75" customHeight="1">
      <c r="A142" s="4" t="s">
        <v>283</v>
      </c>
      <c r="B142" s="22">
        <v>45605</v>
      </c>
      <c r="C142" s="4" t="s">
        <v>187</v>
      </c>
      <c r="D142" s="4" t="s">
        <v>188</v>
      </c>
      <c r="E142" s="4" t="s">
        <v>19</v>
      </c>
      <c r="F142" s="4" t="s">
        <v>20</v>
      </c>
      <c r="G142" s="4" t="s">
        <v>21</v>
      </c>
      <c r="H142" s="4">
        <v>1</v>
      </c>
      <c r="I142" s="4">
        <v>249.99</v>
      </c>
      <c r="J142" s="4" t="s">
        <v>28</v>
      </c>
      <c r="K142" s="4" t="s">
        <v>42</v>
      </c>
      <c r="L142" s="4" t="s">
        <v>29</v>
      </c>
      <c r="M142" s="22">
        <v>44828</v>
      </c>
      <c r="N142" s="4">
        <v>249.99</v>
      </c>
    </row>
    <row r="143" spans="1:14" ht="15.75" customHeight="1">
      <c r="A143" s="4" t="s">
        <v>284</v>
      </c>
      <c r="B143" s="22">
        <v>45607</v>
      </c>
      <c r="C143" s="4" t="s">
        <v>74</v>
      </c>
      <c r="D143" s="4" t="s">
        <v>75</v>
      </c>
      <c r="E143" s="4" t="s">
        <v>54</v>
      </c>
      <c r="F143" s="4" t="s">
        <v>55</v>
      </c>
      <c r="G143" s="4" t="s">
        <v>21</v>
      </c>
      <c r="H143" s="4">
        <v>3</v>
      </c>
      <c r="I143" s="4">
        <v>149.99</v>
      </c>
      <c r="J143" s="4" t="s">
        <v>22</v>
      </c>
      <c r="K143" s="4" t="s">
        <v>42</v>
      </c>
      <c r="L143" s="4" t="s">
        <v>24</v>
      </c>
      <c r="M143" s="22">
        <v>44769</v>
      </c>
      <c r="N143" s="4">
        <v>449.97</v>
      </c>
    </row>
    <row r="144" spans="1:14" ht="15.75" customHeight="1">
      <c r="A144" s="4" t="s">
        <v>285</v>
      </c>
      <c r="B144" s="22">
        <v>45607</v>
      </c>
      <c r="C144" s="4" t="s">
        <v>17</v>
      </c>
      <c r="D144" s="4" t="s">
        <v>18</v>
      </c>
      <c r="E144" s="4" t="s">
        <v>33</v>
      </c>
      <c r="F144" s="4" t="s">
        <v>34</v>
      </c>
      <c r="G144" s="4" t="s">
        <v>35</v>
      </c>
      <c r="H144" s="4">
        <v>5</v>
      </c>
      <c r="I144" s="4">
        <v>59.99</v>
      </c>
      <c r="J144" s="4" t="s">
        <v>36</v>
      </c>
      <c r="K144" s="4" t="s">
        <v>52</v>
      </c>
      <c r="L144" s="4" t="s">
        <v>29</v>
      </c>
      <c r="M144" s="22">
        <v>44694</v>
      </c>
      <c r="N144" s="4">
        <v>299.95</v>
      </c>
    </row>
    <row r="145" spans="1:14" ht="15.75" customHeight="1">
      <c r="A145" s="4" t="s">
        <v>286</v>
      </c>
      <c r="B145" s="22">
        <v>45607</v>
      </c>
      <c r="C145" s="4" t="s">
        <v>101</v>
      </c>
      <c r="D145" s="4" t="s">
        <v>102</v>
      </c>
      <c r="E145" s="4" t="s">
        <v>19</v>
      </c>
      <c r="F145" s="4" t="s">
        <v>20</v>
      </c>
      <c r="G145" s="4" t="s">
        <v>21</v>
      </c>
      <c r="H145" s="4">
        <v>4</v>
      </c>
      <c r="I145" s="4">
        <v>249.99</v>
      </c>
      <c r="J145" s="4" t="s">
        <v>28</v>
      </c>
      <c r="K145" s="4" t="s">
        <v>52</v>
      </c>
      <c r="L145" s="4" t="s">
        <v>38</v>
      </c>
      <c r="M145" s="22">
        <v>44659</v>
      </c>
      <c r="N145" s="4">
        <v>999.96</v>
      </c>
    </row>
    <row r="146" spans="1:14" ht="15.75" customHeight="1">
      <c r="A146" s="4" t="s">
        <v>287</v>
      </c>
      <c r="B146" s="22">
        <v>45608</v>
      </c>
      <c r="C146" s="4" t="s">
        <v>156</v>
      </c>
      <c r="D146" s="4" t="s">
        <v>157</v>
      </c>
      <c r="E146" s="4" t="s">
        <v>46</v>
      </c>
      <c r="F146" s="4" t="s">
        <v>47</v>
      </c>
      <c r="G146" s="4" t="s">
        <v>48</v>
      </c>
      <c r="H146" s="4">
        <v>5</v>
      </c>
      <c r="I146" s="4">
        <v>149.99</v>
      </c>
      <c r="J146" s="4" t="s">
        <v>36</v>
      </c>
      <c r="K146" s="4" t="s">
        <v>23</v>
      </c>
      <c r="L146" s="4" t="s">
        <v>24</v>
      </c>
      <c r="M146" s="22">
        <v>44901</v>
      </c>
      <c r="N146" s="4">
        <v>749.95</v>
      </c>
    </row>
    <row r="147" spans="1:14" ht="15.75" customHeight="1">
      <c r="A147" s="4" t="s">
        <v>288</v>
      </c>
      <c r="B147" s="22">
        <v>45608</v>
      </c>
      <c r="C147" s="4" t="s">
        <v>85</v>
      </c>
      <c r="D147" s="4" t="s">
        <v>86</v>
      </c>
      <c r="E147" s="4" t="s">
        <v>33</v>
      </c>
      <c r="F147" s="4" t="s">
        <v>34</v>
      </c>
      <c r="G147" s="4" t="s">
        <v>35</v>
      </c>
      <c r="H147" s="4">
        <v>3</v>
      </c>
      <c r="I147" s="4">
        <v>59.99</v>
      </c>
      <c r="J147" s="4" t="s">
        <v>59</v>
      </c>
      <c r="K147" s="4" t="s">
        <v>37</v>
      </c>
      <c r="L147" s="4" t="s">
        <v>38</v>
      </c>
      <c r="M147" s="22">
        <v>45260</v>
      </c>
      <c r="N147" s="4">
        <v>179.97</v>
      </c>
    </row>
    <row r="148" spans="1:14" ht="15.75" customHeight="1">
      <c r="A148" s="4" t="s">
        <v>289</v>
      </c>
      <c r="B148" s="22">
        <v>45613</v>
      </c>
      <c r="C148" s="4" t="s">
        <v>236</v>
      </c>
      <c r="D148" s="4" t="s">
        <v>237</v>
      </c>
      <c r="E148" s="4" t="s">
        <v>46</v>
      </c>
      <c r="F148" s="4" t="s">
        <v>47</v>
      </c>
      <c r="G148" s="4" t="s">
        <v>48</v>
      </c>
      <c r="H148" s="4">
        <v>5</v>
      </c>
      <c r="I148" s="4">
        <v>149.99</v>
      </c>
      <c r="J148" s="4" t="s">
        <v>22</v>
      </c>
      <c r="K148" s="4" t="s">
        <v>42</v>
      </c>
      <c r="L148" s="4" t="s">
        <v>24</v>
      </c>
      <c r="M148" s="22">
        <v>44869</v>
      </c>
      <c r="N148" s="4">
        <v>749.95</v>
      </c>
    </row>
    <row r="149" spans="1:14" ht="15.75" customHeight="1">
      <c r="A149" s="4" t="s">
        <v>290</v>
      </c>
      <c r="B149" s="22">
        <v>45613</v>
      </c>
      <c r="C149" s="4" t="s">
        <v>88</v>
      </c>
      <c r="D149" s="4" t="s">
        <v>89</v>
      </c>
      <c r="E149" s="4" t="s">
        <v>82</v>
      </c>
      <c r="F149" s="4" t="s">
        <v>83</v>
      </c>
      <c r="G149" s="4" t="s">
        <v>21</v>
      </c>
      <c r="H149" s="4">
        <v>2</v>
      </c>
      <c r="I149" s="4">
        <v>699.99</v>
      </c>
      <c r="J149" s="4" t="s">
        <v>36</v>
      </c>
      <c r="K149" s="4" t="s">
        <v>52</v>
      </c>
      <c r="L149" s="4" t="s">
        <v>38</v>
      </c>
      <c r="M149" s="22">
        <v>44770</v>
      </c>
      <c r="N149" s="4">
        <v>1399.98</v>
      </c>
    </row>
    <row r="150" spans="1:14" ht="15.75" customHeight="1">
      <c r="A150" s="4" t="s">
        <v>291</v>
      </c>
      <c r="B150" s="22">
        <v>45617</v>
      </c>
      <c r="C150" s="4" t="s">
        <v>125</v>
      </c>
      <c r="D150" s="4" t="s">
        <v>126</v>
      </c>
      <c r="E150" s="4" t="s">
        <v>128</v>
      </c>
      <c r="F150" s="4" t="s">
        <v>129</v>
      </c>
      <c r="G150" s="4" t="s">
        <v>48</v>
      </c>
      <c r="H150" s="4">
        <v>4</v>
      </c>
      <c r="I150" s="4">
        <v>199.99</v>
      </c>
      <c r="J150" s="4" t="s">
        <v>59</v>
      </c>
      <c r="K150" s="4" t="s">
        <v>23</v>
      </c>
      <c r="L150" s="4" t="s">
        <v>29</v>
      </c>
      <c r="M150" s="22">
        <v>44427</v>
      </c>
      <c r="N150" s="4">
        <v>799.96</v>
      </c>
    </row>
    <row r="151" spans="1:14" ht="15.75" customHeight="1">
      <c r="A151" s="4" t="s">
        <v>292</v>
      </c>
      <c r="B151" s="22">
        <v>45619</v>
      </c>
      <c r="C151" s="4" t="s">
        <v>194</v>
      </c>
      <c r="D151" s="4" t="s">
        <v>195</v>
      </c>
      <c r="E151" s="4" t="s">
        <v>33</v>
      </c>
      <c r="F151" s="4" t="s">
        <v>34</v>
      </c>
      <c r="G151" s="4" t="s">
        <v>35</v>
      </c>
      <c r="H151" s="4">
        <v>1</v>
      </c>
      <c r="I151" s="4">
        <v>59.99</v>
      </c>
      <c r="J151" s="4" t="s">
        <v>59</v>
      </c>
      <c r="K151" s="4" t="s">
        <v>52</v>
      </c>
      <c r="L151" s="4" t="s">
        <v>38</v>
      </c>
      <c r="M151" s="22">
        <v>44560</v>
      </c>
      <c r="N151" s="4">
        <v>59.99</v>
      </c>
    </row>
    <row r="152" spans="1:14" ht="15.75" customHeight="1">
      <c r="A152" s="4" t="s">
        <v>293</v>
      </c>
      <c r="B152" s="22">
        <v>45619</v>
      </c>
      <c r="C152" s="4" t="s">
        <v>156</v>
      </c>
      <c r="D152" s="4" t="s">
        <v>157</v>
      </c>
      <c r="E152" s="4" t="s">
        <v>82</v>
      </c>
      <c r="F152" s="4" t="s">
        <v>83</v>
      </c>
      <c r="G152" s="4" t="s">
        <v>21</v>
      </c>
      <c r="H152" s="4">
        <v>3</v>
      </c>
      <c r="I152" s="4">
        <v>699.99</v>
      </c>
      <c r="J152" s="4" t="s">
        <v>36</v>
      </c>
      <c r="K152" s="4" t="s">
        <v>52</v>
      </c>
      <c r="L152" s="4" t="s">
        <v>38</v>
      </c>
      <c r="M152" s="22">
        <v>44583</v>
      </c>
      <c r="N152" s="4">
        <v>2099.9699999999998</v>
      </c>
    </row>
    <row r="153" spans="1:14" ht="15.75" customHeight="1">
      <c r="A153" s="4" t="s">
        <v>294</v>
      </c>
      <c r="B153" s="22">
        <v>45622</v>
      </c>
      <c r="C153" s="4" t="s">
        <v>295</v>
      </c>
      <c r="D153" s="4" t="s">
        <v>296</v>
      </c>
      <c r="E153" s="4" t="s">
        <v>19</v>
      </c>
      <c r="F153" s="4" t="s">
        <v>20</v>
      </c>
      <c r="G153" s="4" t="s">
        <v>21</v>
      </c>
      <c r="H153" s="4">
        <v>5</v>
      </c>
      <c r="I153" s="4">
        <v>249.99</v>
      </c>
      <c r="J153" s="4" t="s">
        <v>28</v>
      </c>
      <c r="K153" s="4" t="s">
        <v>42</v>
      </c>
      <c r="L153" s="4" t="s">
        <v>24</v>
      </c>
      <c r="M153" s="22">
        <v>44873</v>
      </c>
      <c r="N153" s="4">
        <v>1249.95</v>
      </c>
    </row>
    <row r="154" spans="1:14" ht="15.75" customHeight="1">
      <c r="A154" s="4" t="s">
        <v>297</v>
      </c>
      <c r="B154" s="22">
        <v>45623</v>
      </c>
      <c r="C154" s="4" t="s">
        <v>114</v>
      </c>
      <c r="D154" s="4" t="s">
        <v>115</v>
      </c>
      <c r="E154" s="4" t="s">
        <v>46</v>
      </c>
      <c r="F154" s="4" t="s">
        <v>47</v>
      </c>
      <c r="G154" s="4" t="s">
        <v>48</v>
      </c>
      <c r="H154" s="4">
        <v>2</v>
      </c>
      <c r="I154" s="4">
        <v>149.99</v>
      </c>
      <c r="J154" s="4" t="s">
        <v>22</v>
      </c>
      <c r="K154" s="4" t="s">
        <v>37</v>
      </c>
      <c r="L154" s="4" t="s">
        <v>38</v>
      </c>
      <c r="M154" s="22">
        <v>45101</v>
      </c>
      <c r="N154" s="4">
        <v>299.98</v>
      </c>
    </row>
    <row r="155" spans="1:14" ht="15.75" customHeight="1">
      <c r="A155" s="4" t="s">
        <v>298</v>
      </c>
      <c r="B155" s="22">
        <v>45627</v>
      </c>
      <c r="C155" s="4" t="s">
        <v>31</v>
      </c>
      <c r="D155" s="4" t="s">
        <v>32</v>
      </c>
      <c r="E155" s="4" t="s">
        <v>107</v>
      </c>
      <c r="F155" s="4" t="s">
        <v>108</v>
      </c>
      <c r="G155" s="4" t="s">
        <v>48</v>
      </c>
      <c r="H155" s="4">
        <v>3</v>
      </c>
      <c r="I155" s="4">
        <v>299.99</v>
      </c>
      <c r="J155" s="4" t="s">
        <v>22</v>
      </c>
      <c r="K155" s="4" t="s">
        <v>37</v>
      </c>
      <c r="L155" s="4" t="s">
        <v>29</v>
      </c>
      <c r="M155" s="22">
        <v>44659</v>
      </c>
      <c r="N155" s="4">
        <v>899.97</v>
      </c>
    </row>
    <row r="156" spans="1:14" ht="15.75" customHeight="1">
      <c r="A156" s="4" t="s">
        <v>299</v>
      </c>
      <c r="B156" s="22">
        <v>45627</v>
      </c>
      <c r="C156" s="4" t="s">
        <v>57</v>
      </c>
      <c r="D156" s="4" t="s">
        <v>58</v>
      </c>
      <c r="E156" s="4" t="s">
        <v>19</v>
      </c>
      <c r="F156" s="4" t="s">
        <v>20</v>
      </c>
      <c r="G156" s="4" t="s">
        <v>21</v>
      </c>
      <c r="H156" s="4">
        <v>5</v>
      </c>
      <c r="I156" s="4">
        <v>249.99</v>
      </c>
      <c r="J156" s="4" t="s">
        <v>22</v>
      </c>
      <c r="K156" s="4" t="s">
        <v>23</v>
      </c>
      <c r="L156" s="4" t="s">
        <v>29</v>
      </c>
      <c r="M156" s="22">
        <v>44485</v>
      </c>
      <c r="N156" s="4">
        <v>1249.95</v>
      </c>
    </row>
    <row r="157" spans="1:14" ht="15.75" customHeight="1">
      <c r="A157" s="4" t="s">
        <v>300</v>
      </c>
      <c r="B157" s="22">
        <v>45627</v>
      </c>
      <c r="C157" s="4" t="s">
        <v>26</v>
      </c>
      <c r="D157" s="4" t="s">
        <v>27</v>
      </c>
      <c r="E157" s="4" t="s">
        <v>54</v>
      </c>
      <c r="F157" s="4" t="s">
        <v>55</v>
      </c>
      <c r="G157" s="4" t="s">
        <v>21</v>
      </c>
      <c r="H157" s="4">
        <v>2</v>
      </c>
      <c r="I157" s="4">
        <v>149.99</v>
      </c>
      <c r="J157" s="4" t="s">
        <v>22</v>
      </c>
      <c r="K157" s="4" t="s">
        <v>37</v>
      </c>
      <c r="L157" s="4" t="s">
        <v>29</v>
      </c>
      <c r="M157" s="22">
        <v>44475</v>
      </c>
      <c r="N157" s="4">
        <v>299.98</v>
      </c>
    </row>
    <row r="158" spans="1:14" ht="15.75" customHeight="1">
      <c r="A158" s="4" t="s">
        <v>301</v>
      </c>
      <c r="B158" s="22">
        <v>45627</v>
      </c>
      <c r="C158" s="4" t="s">
        <v>88</v>
      </c>
      <c r="D158" s="4" t="s">
        <v>89</v>
      </c>
      <c r="E158" s="4" t="s">
        <v>82</v>
      </c>
      <c r="F158" s="4" t="s">
        <v>83</v>
      </c>
      <c r="G158" s="4" t="s">
        <v>21</v>
      </c>
      <c r="H158" s="4">
        <v>5</v>
      </c>
      <c r="I158" s="4">
        <v>699.99</v>
      </c>
      <c r="J158" s="4" t="s">
        <v>59</v>
      </c>
      <c r="K158" s="4" t="s">
        <v>52</v>
      </c>
      <c r="L158" s="4" t="s">
        <v>38</v>
      </c>
      <c r="M158" s="22">
        <v>44944</v>
      </c>
      <c r="N158" s="4">
        <v>3499.95</v>
      </c>
    </row>
    <row r="159" spans="1:14" ht="15.75" customHeight="1">
      <c r="A159" s="4" t="s">
        <v>302</v>
      </c>
      <c r="B159" s="22">
        <v>45629</v>
      </c>
      <c r="C159" s="4" t="s">
        <v>254</v>
      </c>
      <c r="D159" s="4" t="s">
        <v>255</v>
      </c>
      <c r="E159" s="4" t="s">
        <v>19</v>
      </c>
      <c r="F159" s="4" t="s">
        <v>20</v>
      </c>
      <c r="G159" s="4" t="s">
        <v>21</v>
      </c>
      <c r="H159" s="4">
        <v>4</v>
      </c>
      <c r="I159" s="4">
        <v>249.99</v>
      </c>
      <c r="J159" s="4" t="s">
        <v>36</v>
      </c>
      <c r="K159" s="4" t="s">
        <v>65</v>
      </c>
      <c r="L159" s="4" t="s">
        <v>29</v>
      </c>
      <c r="M159" s="22">
        <v>45098</v>
      </c>
      <c r="N159" s="4">
        <v>999.96</v>
      </c>
    </row>
    <row r="160" spans="1:14" ht="15.75" customHeight="1">
      <c r="A160" s="4" t="s">
        <v>303</v>
      </c>
      <c r="B160" s="22">
        <v>45630</v>
      </c>
      <c r="C160" s="4" t="s">
        <v>50</v>
      </c>
      <c r="D160" s="4" t="s">
        <v>51</v>
      </c>
      <c r="E160" s="4" t="s">
        <v>82</v>
      </c>
      <c r="F160" s="4" t="s">
        <v>83</v>
      </c>
      <c r="G160" s="4" t="s">
        <v>21</v>
      </c>
      <c r="H160" s="4">
        <v>4</v>
      </c>
      <c r="I160" s="4">
        <v>699.99</v>
      </c>
      <c r="J160" s="4" t="s">
        <v>28</v>
      </c>
      <c r="K160" s="4" t="s">
        <v>42</v>
      </c>
      <c r="L160" s="4" t="s">
        <v>29</v>
      </c>
      <c r="M160" s="22">
        <v>44703</v>
      </c>
      <c r="N160" s="4">
        <v>2799.96</v>
      </c>
    </row>
    <row r="161" spans="1:14" ht="15.75" customHeight="1">
      <c r="A161" s="4" t="s">
        <v>304</v>
      </c>
      <c r="B161" s="22">
        <v>45635</v>
      </c>
      <c r="C161" s="4" t="s">
        <v>110</v>
      </c>
      <c r="D161" s="4" t="s">
        <v>111</v>
      </c>
      <c r="E161" s="4" t="s">
        <v>19</v>
      </c>
      <c r="F161" s="4" t="s">
        <v>20</v>
      </c>
      <c r="G161" s="4" t="s">
        <v>21</v>
      </c>
      <c r="H161" s="4">
        <v>2</v>
      </c>
      <c r="I161" s="4">
        <v>249.99</v>
      </c>
      <c r="J161" s="4" t="s">
        <v>28</v>
      </c>
      <c r="K161" s="4" t="s">
        <v>23</v>
      </c>
      <c r="L161" s="4" t="s">
        <v>29</v>
      </c>
      <c r="M161" s="22">
        <v>44396</v>
      </c>
      <c r="N161" s="4">
        <v>499.98</v>
      </c>
    </row>
    <row r="162" spans="1:14" ht="15.75" customHeight="1">
      <c r="A162" s="4" t="s">
        <v>305</v>
      </c>
      <c r="B162" s="22">
        <v>45635</v>
      </c>
      <c r="C162" s="4" t="s">
        <v>306</v>
      </c>
      <c r="D162" s="4" t="s">
        <v>307</v>
      </c>
      <c r="E162" s="4" t="s">
        <v>33</v>
      </c>
      <c r="F162" s="4" t="s">
        <v>34</v>
      </c>
      <c r="G162" s="4" t="s">
        <v>35</v>
      </c>
      <c r="H162" s="4">
        <v>3</v>
      </c>
      <c r="I162" s="4">
        <v>59.99</v>
      </c>
      <c r="J162" s="4" t="s">
        <v>22</v>
      </c>
      <c r="K162" s="4" t="s">
        <v>23</v>
      </c>
      <c r="L162" s="4" t="s">
        <v>29</v>
      </c>
      <c r="M162" s="22">
        <v>45052</v>
      </c>
      <c r="N162" s="4">
        <v>179.97</v>
      </c>
    </row>
    <row r="163" spans="1:14" ht="15.75" customHeight="1">
      <c r="A163" s="4" t="s">
        <v>308</v>
      </c>
      <c r="B163" s="22">
        <v>45635</v>
      </c>
      <c r="C163" s="4" t="s">
        <v>143</v>
      </c>
      <c r="D163" s="4" t="s">
        <v>144</v>
      </c>
      <c r="E163" s="4" t="s">
        <v>116</v>
      </c>
      <c r="F163" s="4" t="s">
        <v>117</v>
      </c>
      <c r="G163" s="4" t="s">
        <v>35</v>
      </c>
      <c r="H163" s="4">
        <v>4</v>
      </c>
      <c r="I163" s="4">
        <v>79.989999999999995</v>
      </c>
      <c r="J163" s="4" t="s">
        <v>59</v>
      </c>
      <c r="K163" s="4" t="s">
        <v>65</v>
      </c>
      <c r="L163" s="4" t="s">
        <v>38</v>
      </c>
      <c r="M163" s="22">
        <v>44921</v>
      </c>
      <c r="N163" s="4">
        <v>319.95999999999998</v>
      </c>
    </row>
    <row r="164" spans="1:14" ht="15.75" customHeight="1">
      <c r="A164" s="4" t="s">
        <v>309</v>
      </c>
      <c r="B164" s="22">
        <v>45636</v>
      </c>
      <c r="C164" s="4" t="s">
        <v>122</v>
      </c>
      <c r="D164" s="4" t="s">
        <v>123</v>
      </c>
      <c r="E164" s="4" t="s">
        <v>116</v>
      </c>
      <c r="F164" s="4" t="s">
        <v>117</v>
      </c>
      <c r="G164" s="4" t="s">
        <v>35</v>
      </c>
      <c r="H164" s="4">
        <v>3</v>
      </c>
      <c r="I164" s="4">
        <v>79.989999999999995</v>
      </c>
      <c r="J164" s="4" t="s">
        <v>59</v>
      </c>
      <c r="K164" s="4" t="s">
        <v>65</v>
      </c>
      <c r="L164" s="4" t="s">
        <v>38</v>
      </c>
      <c r="M164" s="22">
        <v>44779</v>
      </c>
      <c r="N164" s="4">
        <v>239.97</v>
      </c>
    </row>
    <row r="165" spans="1:14" ht="15.75" customHeight="1">
      <c r="A165" s="4" t="s">
        <v>310</v>
      </c>
      <c r="B165" s="22">
        <v>45638</v>
      </c>
      <c r="C165" s="4" t="s">
        <v>74</v>
      </c>
      <c r="D165" s="4" t="s">
        <v>75</v>
      </c>
      <c r="E165" s="4" t="s">
        <v>63</v>
      </c>
      <c r="F165" s="4" t="s">
        <v>64</v>
      </c>
      <c r="G165" s="4" t="s">
        <v>21</v>
      </c>
      <c r="H165" s="4">
        <v>2</v>
      </c>
      <c r="I165" s="4">
        <v>899.99</v>
      </c>
      <c r="J165" s="4" t="s">
        <v>22</v>
      </c>
      <c r="K165" s="4" t="s">
        <v>42</v>
      </c>
      <c r="L165" s="4" t="s">
        <v>24</v>
      </c>
      <c r="M165" s="22">
        <v>44406</v>
      </c>
      <c r="N165" s="4">
        <v>1799.98</v>
      </c>
    </row>
    <row r="166" spans="1:14" ht="15.75" customHeight="1">
      <c r="A166" s="4" t="s">
        <v>311</v>
      </c>
      <c r="B166" s="22">
        <v>45641</v>
      </c>
      <c r="C166" s="4" t="s">
        <v>184</v>
      </c>
      <c r="D166" s="4" t="s">
        <v>185</v>
      </c>
      <c r="E166" s="4" t="s">
        <v>46</v>
      </c>
      <c r="F166" s="4" t="s">
        <v>47</v>
      </c>
      <c r="G166" s="4" t="s">
        <v>48</v>
      </c>
      <c r="H166" s="4">
        <v>1</v>
      </c>
      <c r="I166" s="4">
        <v>149.99</v>
      </c>
      <c r="J166" s="4" t="s">
        <v>59</v>
      </c>
      <c r="K166" s="4" t="s">
        <v>65</v>
      </c>
      <c r="L166" s="4" t="s">
        <v>38</v>
      </c>
      <c r="M166" s="22">
        <v>45200</v>
      </c>
      <c r="N166" s="4">
        <v>149.99</v>
      </c>
    </row>
    <row r="167" spans="1:14" ht="15.75" customHeight="1">
      <c r="A167" s="4" t="s">
        <v>312</v>
      </c>
      <c r="B167" s="22">
        <v>45641</v>
      </c>
      <c r="C167" s="4" t="s">
        <v>140</v>
      </c>
      <c r="D167" s="4" t="s">
        <v>141</v>
      </c>
      <c r="E167" s="4" t="s">
        <v>107</v>
      </c>
      <c r="F167" s="4" t="s">
        <v>108</v>
      </c>
      <c r="G167" s="4" t="s">
        <v>48</v>
      </c>
      <c r="H167" s="4">
        <v>2</v>
      </c>
      <c r="I167" s="4">
        <v>299.99</v>
      </c>
      <c r="J167" s="4" t="s">
        <v>22</v>
      </c>
      <c r="K167" s="4" t="s">
        <v>65</v>
      </c>
      <c r="L167" s="4" t="s">
        <v>29</v>
      </c>
      <c r="M167" s="22">
        <v>44724</v>
      </c>
      <c r="N167" s="4">
        <v>599.98</v>
      </c>
    </row>
    <row r="168" spans="1:14" ht="15.75" customHeight="1">
      <c r="A168" s="4" t="s">
        <v>313</v>
      </c>
      <c r="B168" s="22">
        <v>45644</v>
      </c>
      <c r="C168" s="4" t="s">
        <v>134</v>
      </c>
      <c r="D168" s="4" t="s">
        <v>135</v>
      </c>
      <c r="E168" s="4" t="s">
        <v>33</v>
      </c>
      <c r="F168" s="4" t="s">
        <v>34</v>
      </c>
      <c r="G168" s="4" t="s">
        <v>35</v>
      </c>
      <c r="H168" s="4">
        <v>2</v>
      </c>
      <c r="I168" s="4">
        <v>59.99</v>
      </c>
      <c r="J168" s="4" t="s">
        <v>22</v>
      </c>
      <c r="K168" s="4" t="s">
        <v>52</v>
      </c>
      <c r="L168" s="4" t="s">
        <v>24</v>
      </c>
      <c r="M168" s="22">
        <v>45191</v>
      </c>
      <c r="N168" s="4">
        <v>119.98</v>
      </c>
    </row>
    <row r="169" spans="1:14" ht="15.75" customHeight="1">
      <c r="A169" s="4" t="s">
        <v>314</v>
      </c>
      <c r="B169" s="22">
        <v>45645</v>
      </c>
      <c r="C169" s="4" t="s">
        <v>184</v>
      </c>
      <c r="D169" s="4" t="s">
        <v>185</v>
      </c>
      <c r="E169" s="4" t="s">
        <v>119</v>
      </c>
      <c r="F169" s="4" t="s">
        <v>120</v>
      </c>
      <c r="G169" s="4" t="s">
        <v>21</v>
      </c>
      <c r="H169" s="4">
        <v>1</v>
      </c>
      <c r="I169" s="4">
        <v>89.99</v>
      </c>
      <c r="J169" s="4" t="s">
        <v>59</v>
      </c>
      <c r="K169" s="4" t="s">
        <v>23</v>
      </c>
      <c r="L169" s="4" t="s">
        <v>38</v>
      </c>
      <c r="M169" s="22">
        <v>44760</v>
      </c>
      <c r="N169" s="4">
        <v>89.99</v>
      </c>
    </row>
    <row r="170" spans="1:14" ht="15.75" customHeight="1">
      <c r="A170" s="4" t="s">
        <v>315</v>
      </c>
      <c r="B170" s="22">
        <v>45645</v>
      </c>
      <c r="C170" s="4" t="s">
        <v>149</v>
      </c>
      <c r="D170" s="4" t="s">
        <v>150</v>
      </c>
      <c r="E170" s="4" t="s">
        <v>63</v>
      </c>
      <c r="F170" s="4" t="s">
        <v>64</v>
      </c>
      <c r="G170" s="4" t="s">
        <v>21</v>
      </c>
      <c r="H170" s="4">
        <v>5</v>
      </c>
      <c r="I170" s="4">
        <v>899.99</v>
      </c>
      <c r="J170" s="4" t="s">
        <v>59</v>
      </c>
      <c r="K170" s="4" t="s">
        <v>65</v>
      </c>
      <c r="L170" s="4" t="s">
        <v>38</v>
      </c>
      <c r="M170" s="22">
        <v>44625</v>
      </c>
      <c r="N170" s="4">
        <v>4499.95</v>
      </c>
    </row>
    <row r="171" spans="1:14" ht="15.75" customHeight="1">
      <c r="A171" s="4" t="s">
        <v>316</v>
      </c>
      <c r="B171" s="22">
        <v>45646</v>
      </c>
      <c r="C171" s="4" t="s">
        <v>44</v>
      </c>
      <c r="D171" s="4" t="s">
        <v>45</v>
      </c>
      <c r="E171" s="4" t="s">
        <v>46</v>
      </c>
      <c r="F171" s="4" t="s">
        <v>47</v>
      </c>
      <c r="G171" s="4" t="s">
        <v>48</v>
      </c>
      <c r="H171" s="4">
        <v>2</v>
      </c>
      <c r="I171" s="4">
        <v>149.99</v>
      </c>
      <c r="J171" s="4" t="s">
        <v>22</v>
      </c>
      <c r="K171" s="4" t="s">
        <v>37</v>
      </c>
      <c r="L171" s="4" t="s">
        <v>24</v>
      </c>
      <c r="M171" s="22">
        <v>45239</v>
      </c>
      <c r="N171" s="4">
        <v>299.98</v>
      </c>
    </row>
    <row r="172" spans="1:14" ht="15.75" customHeight="1">
      <c r="A172" s="4" t="s">
        <v>317</v>
      </c>
      <c r="B172" s="22">
        <v>45648</v>
      </c>
      <c r="C172" s="4" t="s">
        <v>114</v>
      </c>
      <c r="D172" s="4" t="s">
        <v>115</v>
      </c>
      <c r="E172" s="4" t="s">
        <v>54</v>
      </c>
      <c r="F172" s="4" t="s">
        <v>55</v>
      </c>
      <c r="G172" s="4" t="s">
        <v>21</v>
      </c>
      <c r="H172" s="4">
        <v>2</v>
      </c>
      <c r="I172" s="4">
        <v>149.99</v>
      </c>
      <c r="J172" s="4" t="s">
        <v>59</v>
      </c>
      <c r="K172" s="4" t="s">
        <v>52</v>
      </c>
      <c r="L172" s="4" t="s">
        <v>29</v>
      </c>
      <c r="M172" s="22">
        <v>45280</v>
      </c>
      <c r="N172" s="4">
        <v>299.98</v>
      </c>
    </row>
    <row r="173" spans="1:14" ht="15.75" customHeight="1">
      <c r="A173" s="4" t="s">
        <v>318</v>
      </c>
      <c r="B173" s="22">
        <v>45648</v>
      </c>
      <c r="C173" s="4" t="s">
        <v>184</v>
      </c>
      <c r="D173" s="4" t="s">
        <v>185</v>
      </c>
      <c r="E173" s="4" t="s">
        <v>46</v>
      </c>
      <c r="F173" s="4" t="s">
        <v>47</v>
      </c>
      <c r="G173" s="4" t="s">
        <v>48</v>
      </c>
      <c r="H173" s="4">
        <v>3</v>
      </c>
      <c r="I173" s="4">
        <v>149.99</v>
      </c>
      <c r="J173" s="4" t="s">
        <v>59</v>
      </c>
      <c r="K173" s="4" t="s">
        <v>42</v>
      </c>
      <c r="L173" s="4" t="s">
        <v>38</v>
      </c>
      <c r="M173" s="22">
        <v>44522</v>
      </c>
      <c r="N173" s="4">
        <v>449.97</v>
      </c>
    </row>
    <row r="174" spans="1:14" ht="15.75" customHeight="1">
      <c r="A174" s="4" t="s">
        <v>319</v>
      </c>
      <c r="B174" s="22">
        <v>45649</v>
      </c>
      <c r="C174" s="4" t="s">
        <v>31</v>
      </c>
      <c r="D174" s="4" t="s">
        <v>32</v>
      </c>
      <c r="E174" s="4" t="s">
        <v>107</v>
      </c>
      <c r="F174" s="4" t="s">
        <v>108</v>
      </c>
      <c r="G174" s="4" t="s">
        <v>48</v>
      </c>
      <c r="H174" s="4">
        <v>2</v>
      </c>
      <c r="I174" s="4">
        <v>299.99</v>
      </c>
      <c r="J174" s="4" t="s">
        <v>36</v>
      </c>
      <c r="K174" s="4" t="s">
        <v>37</v>
      </c>
      <c r="L174" s="4" t="s">
        <v>24</v>
      </c>
      <c r="M174" s="22">
        <v>44721</v>
      </c>
      <c r="N174" s="4">
        <v>599.98</v>
      </c>
    </row>
    <row r="175" spans="1:14" ht="15.75" customHeight="1">
      <c r="A175" s="4" t="s">
        <v>320</v>
      </c>
      <c r="B175" s="22">
        <v>45654</v>
      </c>
      <c r="C175" s="4" t="s">
        <v>44</v>
      </c>
      <c r="D175" s="4" t="s">
        <v>45</v>
      </c>
      <c r="E175" s="4" t="s">
        <v>107</v>
      </c>
      <c r="F175" s="4" t="s">
        <v>108</v>
      </c>
      <c r="G175" s="4" t="s">
        <v>48</v>
      </c>
      <c r="H175" s="4">
        <v>2</v>
      </c>
      <c r="I175" s="4">
        <v>299.99</v>
      </c>
      <c r="J175" s="4" t="s">
        <v>22</v>
      </c>
      <c r="K175" s="4" t="s">
        <v>52</v>
      </c>
      <c r="L175" s="4" t="s">
        <v>24</v>
      </c>
      <c r="M175" s="22">
        <v>44771</v>
      </c>
      <c r="N175" s="4">
        <v>599.98</v>
      </c>
    </row>
    <row r="176" spans="1:14" ht="15.75" customHeight="1">
      <c r="A176" s="4" t="s">
        <v>321</v>
      </c>
      <c r="B176" s="22">
        <v>45654</v>
      </c>
      <c r="C176" s="4" t="s">
        <v>122</v>
      </c>
      <c r="D176" s="4" t="s">
        <v>123</v>
      </c>
      <c r="E176" s="4" t="s">
        <v>128</v>
      </c>
      <c r="F176" s="4" t="s">
        <v>129</v>
      </c>
      <c r="G176" s="4" t="s">
        <v>48</v>
      </c>
      <c r="H176" s="4">
        <v>4</v>
      </c>
      <c r="I176" s="4">
        <v>199.99</v>
      </c>
      <c r="J176" s="4" t="s">
        <v>28</v>
      </c>
      <c r="K176" s="4" t="s">
        <v>23</v>
      </c>
      <c r="L176" s="4" t="s">
        <v>24</v>
      </c>
      <c r="M176" s="22">
        <v>44523</v>
      </c>
      <c r="N176" s="4">
        <v>799.96</v>
      </c>
    </row>
    <row r="177" spans="1:14" ht="15.75" customHeight="1">
      <c r="A177" s="4" t="s">
        <v>322</v>
      </c>
      <c r="B177" s="22">
        <v>45655</v>
      </c>
      <c r="C177" s="4" t="s">
        <v>61</v>
      </c>
      <c r="D177" s="4" t="s">
        <v>62</v>
      </c>
      <c r="E177" s="4" t="s">
        <v>119</v>
      </c>
      <c r="F177" s="4" t="s">
        <v>120</v>
      </c>
      <c r="G177" s="4" t="s">
        <v>21</v>
      </c>
      <c r="H177" s="4">
        <v>1</v>
      </c>
      <c r="I177" s="4">
        <v>89.99</v>
      </c>
      <c r="J177" s="4" t="s">
        <v>28</v>
      </c>
      <c r="K177" s="4" t="s">
        <v>37</v>
      </c>
      <c r="L177" s="4" t="s">
        <v>29</v>
      </c>
      <c r="M177" s="22">
        <v>44591</v>
      </c>
      <c r="N177" s="4">
        <v>89.99</v>
      </c>
    </row>
    <row r="178" spans="1:14" ht="15.75" customHeight="1">
      <c r="A178" s="4" t="s">
        <v>323</v>
      </c>
      <c r="B178" s="22">
        <v>45655</v>
      </c>
      <c r="C178" s="4" t="s">
        <v>110</v>
      </c>
      <c r="D178" s="4" t="s">
        <v>111</v>
      </c>
      <c r="E178" s="4" t="s">
        <v>46</v>
      </c>
      <c r="F178" s="4" t="s">
        <v>47</v>
      </c>
      <c r="G178" s="4" t="s">
        <v>48</v>
      </c>
      <c r="H178" s="4">
        <v>5</v>
      </c>
      <c r="I178" s="4">
        <v>149.99</v>
      </c>
      <c r="J178" s="4" t="s">
        <v>22</v>
      </c>
      <c r="K178" s="4" t="s">
        <v>23</v>
      </c>
      <c r="L178" s="4" t="s">
        <v>29</v>
      </c>
      <c r="M178" s="22">
        <v>45347</v>
      </c>
      <c r="N178" s="4">
        <v>749.95</v>
      </c>
    </row>
    <row r="179" spans="1:14" ht="15.75" customHeight="1">
      <c r="A179" s="4" t="s">
        <v>324</v>
      </c>
      <c r="B179" s="22">
        <v>45657</v>
      </c>
      <c r="C179" s="4" t="s">
        <v>88</v>
      </c>
      <c r="D179" s="4" t="s">
        <v>89</v>
      </c>
      <c r="E179" s="4" t="s">
        <v>63</v>
      </c>
      <c r="F179" s="4" t="s">
        <v>64</v>
      </c>
      <c r="G179" s="4" t="s">
        <v>21</v>
      </c>
      <c r="H179" s="4">
        <v>1</v>
      </c>
      <c r="I179" s="4">
        <v>899.99</v>
      </c>
      <c r="J179" s="4" t="s">
        <v>36</v>
      </c>
      <c r="K179" s="4" t="s">
        <v>42</v>
      </c>
      <c r="L179" s="4" t="s">
        <v>29</v>
      </c>
      <c r="M179" s="22">
        <v>45050</v>
      </c>
      <c r="N179" s="4">
        <v>899.99</v>
      </c>
    </row>
    <row r="180" spans="1:14" ht="15.75" customHeight="1">
      <c r="A180" s="4" t="s">
        <v>325</v>
      </c>
      <c r="B180" s="22">
        <v>45660</v>
      </c>
      <c r="C180" s="4" t="s">
        <v>149</v>
      </c>
      <c r="D180" s="4" t="s">
        <v>150</v>
      </c>
      <c r="E180" s="4" t="s">
        <v>119</v>
      </c>
      <c r="F180" s="4" t="s">
        <v>120</v>
      </c>
      <c r="G180" s="4" t="s">
        <v>21</v>
      </c>
      <c r="H180" s="4">
        <v>2</v>
      </c>
      <c r="I180" s="4">
        <v>89.99</v>
      </c>
      <c r="J180" s="4" t="s">
        <v>28</v>
      </c>
      <c r="K180" s="4" t="s">
        <v>37</v>
      </c>
      <c r="L180" s="4" t="s">
        <v>29</v>
      </c>
      <c r="M180" s="22">
        <v>44564</v>
      </c>
      <c r="N180" s="4">
        <v>179.98</v>
      </c>
    </row>
    <row r="181" spans="1:14" ht="15.75" customHeight="1">
      <c r="A181" s="4" t="s">
        <v>326</v>
      </c>
      <c r="B181" s="22">
        <v>45661</v>
      </c>
      <c r="C181" s="4" t="s">
        <v>327</v>
      </c>
      <c r="D181" s="4" t="s">
        <v>328</v>
      </c>
      <c r="E181" s="4" t="s">
        <v>63</v>
      </c>
      <c r="F181" s="4" t="s">
        <v>64</v>
      </c>
      <c r="G181" s="4" t="s">
        <v>21</v>
      </c>
      <c r="H181" s="4">
        <v>1</v>
      </c>
      <c r="I181" s="4">
        <v>899.99</v>
      </c>
      <c r="J181" s="4" t="s">
        <v>36</v>
      </c>
      <c r="K181" s="4" t="s">
        <v>42</v>
      </c>
      <c r="L181" s="4" t="s">
        <v>38</v>
      </c>
      <c r="M181" s="22">
        <v>44752</v>
      </c>
      <c r="N181" s="4">
        <v>899.99</v>
      </c>
    </row>
    <row r="182" spans="1:14" ht="15.75" customHeight="1">
      <c r="A182" s="4" t="s">
        <v>329</v>
      </c>
      <c r="B182" s="22">
        <v>45663</v>
      </c>
      <c r="C182" s="4" t="s">
        <v>131</v>
      </c>
      <c r="D182" s="4" t="s">
        <v>132</v>
      </c>
      <c r="E182" s="4" t="s">
        <v>54</v>
      </c>
      <c r="F182" s="4" t="s">
        <v>55</v>
      </c>
      <c r="G182" s="4" t="s">
        <v>21</v>
      </c>
      <c r="H182" s="4">
        <v>5</v>
      </c>
      <c r="I182" s="4">
        <v>149.99</v>
      </c>
      <c r="J182" s="4" t="s">
        <v>36</v>
      </c>
      <c r="K182" s="4" t="s">
        <v>65</v>
      </c>
      <c r="L182" s="4" t="s">
        <v>29</v>
      </c>
      <c r="M182" s="22">
        <v>44824</v>
      </c>
      <c r="N182" s="4">
        <v>749.95</v>
      </c>
    </row>
    <row r="183" spans="1:14" ht="15.75" customHeight="1">
      <c r="A183" s="4" t="s">
        <v>330</v>
      </c>
      <c r="B183" s="22">
        <v>45663</v>
      </c>
      <c r="C183" s="4" t="s">
        <v>44</v>
      </c>
      <c r="D183" s="4" t="s">
        <v>45</v>
      </c>
      <c r="E183" s="4" t="s">
        <v>107</v>
      </c>
      <c r="F183" s="4" t="s">
        <v>108</v>
      </c>
      <c r="G183" s="4" t="s">
        <v>48</v>
      </c>
      <c r="H183" s="4">
        <v>3</v>
      </c>
      <c r="I183" s="4">
        <v>299.99</v>
      </c>
      <c r="J183" s="4" t="s">
        <v>22</v>
      </c>
      <c r="K183" s="4" t="s">
        <v>37</v>
      </c>
      <c r="L183" s="4" t="s">
        <v>38</v>
      </c>
      <c r="M183" s="22">
        <v>44422</v>
      </c>
      <c r="N183" s="4">
        <v>899.97</v>
      </c>
    </row>
    <row r="184" spans="1:14" ht="15.75" customHeight="1">
      <c r="A184" s="4" t="s">
        <v>331</v>
      </c>
      <c r="B184" s="22">
        <v>45666</v>
      </c>
      <c r="C184" s="4" t="s">
        <v>67</v>
      </c>
      <c r="D184" s="4" t="s">
        <v>68</v>
      </c>
      <c r="E184" s="4" t="s">
        <v>82</v>
      </c>
      <c r="F184" s="4" t="s">
        <v>83</v>
      </c>
      <c r="G184" s="4" t="s">
        <v>21</v>
      </c>
      <c r="H184" s="4">
        <v>3</v>
      </c>
      <c r="I184" s="4">
        <v>699.99</v>
      </c>
      <c r="J184" s="4" t="s">
        <v>28</v>
      </c>
      <c r="K184" s="4" t="s">
        <v>23</v>
      </c>
      <c r="L184" s="4" t="s">
        <v>29</v>
      </c>
      <c r="M184" s="22">
        <v>45105</v>
      </c>
      <c r="N184" s="4">
        <v>2099.9699999999998</v>
      </c>
    </row>
    <row r="185" spans="1:14" ht="15.75" customHeight="1">
      <c r="A185" s="4" t="s">
        <v>332</v>
      </c>
      <c r="B185" s="22">
        <v>45667</v>
      </c>
      <c r="C185" s="4" t="s">
        <v>110</v>
      </c>
      <c r="D185" s="4" t="s">
        <v>111</v>
      </c>
      <c r="E185" s="4" t="s">
        <v>128</v>
      </c>
      <c r="F185" s="4" t="s">
        <v>129</v>
      </c>
      <c r="G185" s="4" t="s">
        <v>48</v>
      </c>
      <c r="H185" s="4">
        <v>5</v>
      </c>
      <c r="I185" s="4">
        <v>199.99</v>
      </c>
      <c r="J185" s="4" t="s">
        <v>36</v>
      </c>
      <c r="K185" s="4" t="s">
        <v>23</v>
      </c>
      <c r="L185" s="4" t="s">
        <v>38</v>
      </c>
      <c r="M185" s="22">
        <v>44633</v>
      </c>
      <c r="N185" s="4">
        <v>999.95</v>
      </c>
    </row>
    <row r="186" spans="1:14" ht="15.75" customHeight="1">
      <c r="A186" s="4" t="s">
        <v>333</v>
      </c>
      <c r="B186" s="22">
        <v>45667</v>
      </c>
      <c r="C186" s="4" t="s">
        <v>95</v>
      </c>
      <c r="D186" s="4" t="s">
        <v>96</v>
      </c>
      <c r="E186" s="4" t="s">
        <v>19</v>
      </c>
      <c r="F186" s="4" t="s">
        <v>20</v>
      </c>
      <c r="G186" s="4" t="s">
        <v>21</v>
      </c>
      <c r="H186" s="4">
        <v>5</v>
      </c>
      <c r="I186" s="4">
        <v>249.99</v>
      </c>
      <c r="J186" s="4" t="s">
        <v>28</v>
      </c>
      <c r="K186" s="4" t="s">
        <v>37</v>
      </c>
      <c r="L186" s="4" t="s">
        <v>24</v>
      </c>
      <c r="M186" s="22">
        <v>45330</v>
      </c>
      <c r="N186" s="4">
        <v>1249.95</v>
      </c>
    </row>
    <row r="187" spans="1:14" ht="15.75" customHeight="1">
      <c r="A187" s="4" t="s">
        <v>334</v>
      </c>
      <c r="B187" s="22">
        <v>45668</v>
      </c>
      <c r="C187" s="4" t="s">
        <v>140</v>
      </c>
      <c r="D187" s="4" t="s">
        <v>141</v>
      </c>
      <c r="E187" s="4" t="s">
        <v>54</v>
      </c>
      <c r="F187" s="4" t="s">
        <v>55</v>
      </c>
      <c r="G187" s="4" t="s">
        <v>21</v>
      </c>
      <c r="H187" s="4">
        <v>4</v>
      </c>
      <c r="I187" s="4">
        <v>149.99</v>
      </c>
      <c r="J187" s="4" t="s">
        <v>59</v>
      </c>
      <c r="K187" s="4" t="s">
        <v>65</v>
      </c>
      <c r="L187" s="4" t="s">
        <v>38</v>
      </c>
      <c r="M187" s="22">
        <v>44536</v>
      </c>
      <c r="N187" s="4">
        <v>599.96</v>
      </c>
    </row>
    <row r="188" spans="1:14" ht="15.75" customHeight="1">
      <c r="A188" s="4" t="s">
        <v>335</v>
      </c>
      <c r="B188" s="22">
        <v>45668</v>
      </c>
      <c r="C188" s="4" t="s">
        <v>80</v>
      </c>
      <c r="D188" s="4" t="s">
        <v>81</v>
      </c>
      <c r="E188" s="4" t="s">
        <v>82</v>
      </c>
      <c r="F188" s="4" t="s">
        <v>83</v>
      </c>
      <c r="G188" s="4" t="s">
        <v>21</v>
      </c>
      <c r="H188" s="4">
        <v>3</v>
      </c>
      <c r="I188" s="4">
        <v>699.99</v>
      </c>
      <c r="J188" s="4" t="s">
        <v>22</v>
      </c>
      <c r="K188" s="4" t="s">
        <v>42</v>
      </c>
      <c r="L188" s="4" t="s">
        <v>29</v>
      </c>
      <c r="M188" s="22">
        <v>44602</v>
      </c>
      <c r="N188" s="4">
        <v>2099.9699999999998</v>
      </c>
    </row>
    <row r="189" spans="1:14" ht="15.75" customHeight="1">
      <c r="A189" s="4" t="s">
        <v>336</v>
      </c>
      <c r="B189" s="22">
        <v>45670</v>
      </c>
      <c r="C189" s="4" t="s">
        <v>295</v>
      </c>
      <c r="D189" s="4" t="s">
        <v>296</v>
      </c>
      <c r="E189" s="4" t="s">
        <v>116</v>
      </c>
      <c r="F189" s="4" t="s">
        <v>117</v>
      </c>
      <c r="G189" s="4" t="s">
        <v>35</v>
      </c>
      <c r="H189" s="4">
        <v>1</v>
      </c>
      <c r="I189" s="4">
        <v>79.989999999999995</v>
      </c>
      <c r="J189" s="4" t="s">
        <v>28</v>
      </c>
      <c r="K189" s="4" t="s">
        <v>37</v>
      </c>
      <c r="L189" s="4" t="s">
        <v>24</v>
      </c>
      <c r="M189" s="22">
        <v>45322</v>
      </c>
      <c r="N189" s="4">
        <v>79.989999999999995</v>
      </c>
    </row>
    <row r="190" spans="1:14" ht="15.75" customHeight="1">
      <c r="A190" s="4" t="s">
        <v>337</v>
      </c>
      <c r="B190" s="22">
        <v>45670</v>
      </c>
      <c r="C190" s="4" t="s">
        <v>88</v>
      </c>
      <c r="D190" s="4" t="s">
        <v>89</v>
      </c>
      <c r="E190" s="4" t="s">
        <v>107</v>
      </c>
      <c r="F190" s="4" t="s">
        <v>108</v>
      </c>
      <c r="G190" s="4" t="s">
        <v>48</v>
      </c>
      <c r="H190" s="4">
        <v>1</v>
      </c>
      <c r="I190" s="4">
        <v>299.99</v>
      </c>
      <c r="J190" s="4" t="s">
        <v>28</v>
      </c>
      <c r="K190" s="4" t="s">
        <v>42</v>
      </c>
      <c r="L190" s="4" t="s">
        <v>24</v>
      </c>
      <c r="M190" s="22">
        <v>44436</v>
      </c>
      <c r="N190" s="4">
        <v>299.99</v>
      </c>
    </row>
    <row r="191" spans="1:14" ht="15.75" customHeight="1">
      <c r="A191" s="4" t="s">
        <v>338</v>
      </c>
      <c r="B191" s="22">
        <v>45671</v>
      </c>
      <c r="C191" s="4" t="s">
        <v>160</v>
      </c>
      <c r="D191" s="4" t="s">
        <v>161</v>
      </c>
      <c r="E191" s="4" t="s">
        <v>19</v>
      </c>
      <c r="F191" s="4" t="s">
        <v>20</v>
      </c>
      <c r="G191" s="4" t="s">
        <v>21</v>
      </c>
      <c r="H191" s="4">
        <v>4</v>
      </c>
      <c r="I191" s="4">
        <v>249.99</v>
      </c>
      <c r="J191" s="4" t="s">
        <v>28</v>
      </c>
      <c r="K191" s="4" t="s">
        <v>42</v>
      </c>
      <c r="L191" s="4" t="s">
        <v>29</v>
      </c>
      <c r="M191" s="22">
        <v>44460</v>
      </c>
      <c r="N191" s="4">
        <v>999.96</v>
      </c>
    </row>
    <row r="192" spans="1:14" ht="15.75" customHeight="1">
      <c r="A192" s="4" t="s">
        <v>339</v>
      </c>
      <c r="B192" s="22">
        <v>45671</v>
      </c>
      <c r="C192" s="4" t="s">
        <v>122</v>
      </c>
      <c r="D192" s="4" t="s">
        <v>123</v>
      </c>
      <c r="E192" s="4" t="s">
        <v>54</v>
      </c>
      <c r="F192" s="4" t="s">
        <v>55</v>
      </c>
      <c r="G192" s="4" t="s">
        <v>21</v>
      </c>
      <c r="H192" s="4">
        <v>2</v>
      </c>
      <c r="I192" s="4">
        <v>149.99</v>
      </c>
      <c r="J192" s="4" t="s">
        <v>22</v>
      </c>
      <c r="K192" s="4" t="s">
        <v>42</v>
      </c>
      <c r="L192" s="4" t="s">
        <v>38</v>
      </c>
      <c r="M192" s="22">
        <v>44913</v>
      </c>
      <c r="N192" s="4">
        <v>299.98</v>
      </c>
    </row>
    <row r="193" spans="1:14" ht="15.75" customHeight="1">
      <c r="A193" s="4" t="s">
        <v>340</v>
      </c>
      <c r="B193" s="22">
        <v>45671</v>
      </c>
      <c r="C193" s="4" t="s">
        <v>236</v>
      </c>
      <c r="D193" s="4" t="s">
        <v>237</v>
      </c>
      <c r="E193" s="4" t="s">
        <v>107</v>
      </c>
      <c r="F193" s="4" t="s">
        <v>108</v>
      </c>
      <c r="G193" s="4" t="s">
        <v>48</v>
      </c>
      <c r="H193" s="4">
        <v>3</v>
      </c>
      <c r="I193" s="4">
        <v>299.99</v>
      </c>
      <c r="J193" s="4" t="s">
        <v>28</v>
      </c>
      <c r="K193" s="4" t="s">
        <v>37</v>
      </c>
      <c r="L193" s="4" t="s">
        <v>24</v>
      </c>
      <c r="M193" s="22">
        <v>45204</v>
      </c>
      <c r="N193" s="4">
        <v>899.97</v>
      </c>
    </row>
    <row r="194" spans="1:14" ht="15.75" customHeight="1">
      <c r="A194" s="4" t="s">
        <v>341</v>
      </c>
      <c r="B194" s="22">
        <v>45673</v>
      </c>
      <c r="C194" s="4" t="s">
        <v>228</v>
      </c>
      <c r="D194" s="4" t="s">
        <v>229</v>
      </c>
      <c r="E194" s="4" t="s">
        <v>128</v>
      </c>
      <c r="F194" s="4" t="s">
        <v>129</v>
      </c>
      <c r="G194" s="4" t="s">
        <v>48</v>
      </c>
      <c r="H194" s="4">
        <v>4</v>
      </c>
      <c r="I194" s="4">
        <v>199.99</v>
      </c>
      <c r="J194" s="4" t="s">
        <v>59</v>
      </c>
      <c r="K194" s="4" t="s">
        <v>37</v>
      </c>
      <c r="L194" s="4" t="s">
        <v>38</v>
      </c>
      <c r="M194" s="22">
        <v>44544</v>
      </c>
      <c r="N194" s="4">
        <v>799.96</v>
      </c>
    </row>
    <row r="195" spans="1:14" ht="15.75" customHeight="1">
      <c r="A195" s="4" t="s">
        <v>342</v>
      </c>
      <c r="B195" s="22">
        <v>45673</v>
      </c>
      <c r="C195" s="4" t="s">
        <v>213</v>
      </c>
      <c r="D195" s="4" t="s">
        <v>214</v>
      </c>
      <c r="E195" s="4" t="s">
        <v>107</v>
      </c>
      <c r="F195" s="4" t="s">
        <v>108</v>
      </c>
      <c r="G195" s="4" t="s">
        <v>48</v>
      </c>
      <c r="H195" s="4">
        <v>5</v>
      </c>
      <c r="I195" s="4">
        <v>299.99</v>
      </c>
      <c r="J195" s="4" t="s">
        <v>59</v>
      </c>
      <c r="K195" s="4" t="s">
        <v>23</v>
      </c>
      <c r="L195" s="4" t="s">
        <v>24</v>
      </c>
      <c r="M195" s="22">
        <v>44431</v>
      </c>
      <c r="N195" s="4">
        <v>1499.95</v>
      </c>
    </row>
    <row r="196" spans="1:14" ht="15.75" customHeight="1">
      <c r="A196" s="4" t="s">
        <v>343</v>
      </c>
      <c r="B196" s="22">
        <v>45673</v>
      </c>
      <c r="C196" s="4" t="s">
        <v>61</v>
      </c>
      <c r="D196" s="4" t="s">
        <v>62</v>
      </c>
      <c r="E196" s="4" t="s">
        <v>46</v>
      </c>
      <c r="F196" s="4" t="s">
        <v>47</v>
      </c>
      <c r="G196" s="4" t="s">
        <v>48</v>
      </c>
      <c r="H196" s="4">
        <v>3</v>
      </c>
      <c r="I196" s="4">
        <v>149.99</v>
      </c>
      <c r="J196" s="4" t="s">
        <v>28</v>
      </c>
      <c r="K196" s="4" t="s">
        <v>65</v>
      </c>
      <c r="L196" s="4" t="s">
        <v>38</v>
      </c>
      <c r="M196" s="22">
        <v>44395</v>
      </c>
      <c r="N196" s="4">
        <v>449.97</v>
      </c>
    </row>
    <row r="197" spans="1:14" ht="15.75" customHeight="1">
      <c r="A197" s="4" t="s">
        <v>344</v>
      </c>
      <c r="B197" s="22">
        <v>45676</v>
      </c>
      <c r="C197" s="4" t="s">
        <v>131</v>
      </c>
      <c r="D197" s="4" t="s">
        <v>132</v>
      </c>
      <c r="E197" s="4" t="s">
        <v>33</v>
      </c>
      <c r="F197" s="4" t="s">
        <v>34</v>
      </c>
      <c r="G197" s="4" t="s">
        <v>35</v>
      </c>
      <c r="H197" s="4">
        <v>5</v>
      </c>
      <c r="I197" s="4">
        <v>59.99</v>
      </c>
      <c r="J197" s="4" t="s">
        <v>59</v>
      </c>
      <c r="K197" s="4" t="s">
        <v>65</v>
      </c>
      <c r="L197" s="4" t="s">
        <v>24</v>
      </c>
      <c r="M197" s="22">
        <v>44642</v>
      </c>
      <c r="N197" s="4">
        <v>299.95</v>
      </c>
    </row>
    <row r="198" spans="1:14" ht="15.75" customHeight="1">
      <c r="A198" s="4" t="s">
        <v>345</v>
      </c>
      <c r="B198" s="22">
        <v>45682</v>
      </c>
      <c r="C198" s="4" t="s">
        <v>70</v>
      </c>
      <c r="D198" s="4" t="s">
        <v>71</v>
      </c>
      <c r="E198" s="4" t="s">
        <v>33</v>
      </c>
      <c r="F198" s="4" t="s">
        <v>34</v>
      </c>
      <c r="G198" s="4" t="s">
        <v>35</v>
      </c>
      <c r="H198" s="4">
        <v>4</v>
      </c>
      <c r="I198" s="4">
        <v>59.99</v>
      </c>
      <c r="J198" s="4" t="s">
        <v>59</v>
      </c>
      <c r="K198" s="4" t="s">
        <v>65</v>
      </c>
      <c r="L198" s="4" t="s">
        <v>38</v>
      </c>
      <c r="M198" s="22">
        <v>44564</v>
      </c>
      <c r="N198" s="4">
        <v>239.96</v>
      </c>
    </row>
    <row r="199" spans="1:14" ht="15.75" customHeight="1">
      <c r="A199" s="4" t="s">
        <v>346</v>
      </c>
      <c r="B199" s="22">
        <v>45683</v>
      </c>
      <c r="C199" s="4" t="s">
        <v>50</v>
      </c>
      <c r="D199" s="4" t="s">
        <v>51</v>
      </c>
      <c r="E199" s="4" t="s">
        <v>19</v>
      </c>
      <c r="F199" s="4" t="s">
        <v>20</v>
      </c>
      <c r="G199" s="4" t="s">
        <v>21</v>
      </c>
      <c r="H199" s="4">
        <v>4</v>
      </c>
      <c r="I199" s="4">
        <v>249.99</v>
      </c>
      <c r="J199" s="4" t="s">
        <v>59</v>
      </c>
      <c r="K199" s="4" t="s">
        <v>23</v>
      </c>
      <c r="L199" s="4" t="s">
        <v>29</v>
      </c>
      <c r="M199" s="22">
        <v>45217</v>
      </c>
      <c r="N199" s="4">
        <v>999.96</v>
      </c>
    </row>
    <row r="200" spans="1:14" ht="15.75" customHeight="1">
      <c r="A200" s="4" t="s">
        <v>347</v>
      </c>
      <c r="B200" s="22">
        <v>45686</v>
      </c>
      <c r="C200" s="4" t="s">
        <v>254</v>
      </c>
      <c r="D200" s="4" t="s">
        <v>255</v>
      </c>
      <c r="E200" s="4" t="s">
        <v>63</v>
      </c>
      <c r="F200" s="4" t="s">
        <v>64</v>
      </c>
      <c r="G200" s="4" t="s">
        <v>21</v>
      </c>
      <c r="H200" s="4">
        <v>4</v>
      </c>
      <c r="I200" s="4">
        <v>899.99</v>
      </c>
      <c r="J200" s="4" t="s">
        <v>36</v>
      </c>
      <c r="K200" s="4" t="s">
        <v>23</v>
      </c>
      <c r="L200" s="4" t="s">
        <v>24</v>
      </c>
      <c r="M200" s="22">
        <v>44734</v>
      </c>
      <c r="N200" s="4">
        <v>3599.96</v>
      </c>
    </row>
    <row r="201" spans="1:14" ht="15.75" customHeight="1">
      <c r="A201" s="4" t="s">
        <v>348</v>
      </c>
      <c r="B201" s="22">
        <v>45686</v>
      </c>
      <c r="C201" s="4" t="s">
        <v>88</v>
      </c>
      <c r="D201" s="4" t="s">
        <v>89</v>
      </c>
      <c r="E201" s="4" t="s">
        <v>107</v>
      </c>
      <c r="F201" s="4" t="s">
        <v>108</v>
      </c>
      <c r="G201" s="4" t="s">
        <v>48</v>
      </c>
      <c r="H201" s="4">
        <v>3</v>
      </c>
      <c r="I201" s="4">
        <v>299.99</v>
      </c>
      <c r="J201" s="4" t="s">
        <v>59</v>
      </c>
      <c r="K201" s="4" t="s">
        <v>52</v>
      </c>
      <c r="L201" s="4" t="s">
        <v>38</v>
      </c>
      <c r="M201" s="22">
        <v>44952</v>
      </c>
      <c r="N201" s="4">
        <v>899.97</v>
      </c>
    </row>
    <row r="202" spans="1:14" ht="15.75" customHeight="1">
      <c r="A202" s="4" t="s">
        <v>349</v>
      </c>
      <c r="B202" s="22">
        <v>45686</v>
      </c>
      <c r="C202" s="4" t="s">
        <v>295</v>
      </c>
      <c r="D202" s="4" t="s">
        <v>296</v>
      </c>
      <c r="E202" s="4" t="s">
        <v>82</v>
      </c>
      <c r="F202" s="4" t="s">
        <v>83</v>
      </c>
      <c r="G202" s="4" t="s">
        <v>21</v>
      </c>
      <c r="H202" s="4">
        <v>2</v>
      </c>
      <c r="I202" s="4">
        <v>699.99</v>
      </c>
      <c r="J202" s="4" t="s">
        <v>59</v>
      </c>
      <c r="K202" s="4" t="s">
        <v>23</v>
      </c>
      <c r="L202" s="4" t="s">
        <v>29</v>
      </c>
      <c r="M202" s="22">
        <v>44681</v>
      </c>
      <c r="N202" s="4">
        <v>1399.98</v>
      </c>
    </row>
    <row r="203" spans="1:14" ht="15.75" customHeight="1">
      <c r="A203" s="4" t="s">
        <v>350</v>
      </c>
      <c r="B203" s="22">
        <v>45688</v>
      </c>
      <c r="C203" s="4" t="s">
        <v>67</v>
      </c>
      <c r="D203" s="4" t="s">
        <v>68</v>
      </c>
      <c r="E203" s="4" t="s">
        <v>82</v>
      </c>
      <c r="F203" s="4" t="s">
        <v>83</v>
      </c>
      <c r="G203" s="4" t="s">
        <v>21</v>
      </c>
      <c r="H203" s="4">
        <v>4</v>
      </c>
      <c r="I203" s="4">
        <v>699.99</v>
      </c>
      <c r="J203" s="4" t="s">
        <v>59</v>
      </c>
      <c r="K203" s="4" t="s">
        <v>52</v>
      </c>
      <c r="L203" s="4" t="s">
        <v>29</v>
      </c>
      <c r="M203" s="22">
        <v>44692</v>
      </c>
      <c r="N203" s="4">
        <v>2799.96</v>
      </c>
    </row>
    <row r="204" spans="1:14" ht="15.75" customHeight="1">
      <c r="A204" s="4" t="s">
        <v>351</v>
      </c>
      <c r="B204" s="22">
        <v>45688</v>
      </c>
      <c r="C204" s="4" t="s">
        <v>125</v>
      </c>
      <c r="D204" s="4" t="s">
        <v>126</v>
      </c>
      <c r="E204" s="4" t="s">
        <v>119</v>
      </c>
      <c r="F204" s="4" t="s">
        <v>120</v>
      </c>
      <c r="G204" s="4" t="s">
        <v>21</v>
      </c>
      <c r="H204" s="4">
        <v>2</v>
      </c>
      <c r="I204" s="4">
        <v>89.99</v>
      </c>
      <c r="J204" s="4" t="s">
        <v>59</v>
      </c>
      <c r="K204" s="4" t="s">
        <v>37</v>
      </c>
      <c r="L204" s="4" t="s">
        <v>24</v>
      </c>
      <c r="M204" s="22">
        <v>44777</v>
      </c>
      <c r="N204" s="4">
        <v>179.98</v>
      </c>
    </row>
    <row r="205" spans="1:14" ht="15.75" customHeight="1">
      <c r="A205" s="4" t="s">
        <v>352</v>
      </c>
      <c r="B205" s="22">
        <v>45688</v>
      </c>
      <c r="C205" s="4" t="s">
        <v>44</v>
      </c>
      <c r="D205" s="4" t="s">
        <v>45</v>
      </c>
      <c r="E205" s="4" t="s">
        <v>119</v>
      </c>
      <c r="F205" s="4" t="s">
        <v>120</v>
      </c>
      <c r="G205" s="4" t="s">
        <v>21</v>
      </c>
      <c r="H205" s="4">
        <v>3</v>
      </c>
      <c r="I205" s="4">
        <v>89.99</v>
      </c>
      <c r="J205" s="4" t="s">
        <v>59</v>
      </c>
      <c r="K205" s="4" t="s">
        <v>37</v>
      </c>
      <c r="L205" s="4" t="s">
        <v>29</v>
      </c>
      <c r="M205" s="22">
        <v>45307</v>
      </c>
      <c r="N205" s="4">
        <v>269.97000000000003</v>
      </c>
    </row>
    <row r="206" spans="1:14" ht="15.75" customHeight="1">
      <c r="A206" s="4" t="s">
        <v>353</v>
      </c>
      <c r="B206" s="22">
        <v>45692</v>
      </c>
      <c r="C206" s="4" t="s">
        <v>327</v>
      </c>
      <c r="D206" s="4" t="s">
        <v>328</v>
      </c>
      <c r="E206" s="4" t="s">
        <v>33</v>
      </c>
      <c r="F206" s="4" t="s">
        <v>34</v>
      </c>
      <c r="G206" s="4" t="s">
        <v>35</v>
      </c>
      <c r="H206" s="4">
        <v>1</v>
      </c>
      <c r="I206" s="4">
        <v>59.99</v>
      </c>
      <c r="J206" s="4" t="s">
        <v>59</v>
      </c>
      <c r="K206" s="4" t="s">
        <v>23</v>
      </c>
      <c r="L206" s="4" t="s">
        <v>38</v>
      </c>
      <c r="M206" s="22">
        <v>45045</v>
      </c>
      <c r="N206" s="4">
        <v>59.99</v>
      </c>
    </row>
    <row r="207" spans="1:14" ht="15.75" customHeight="1">
      <c r="A207" s="4" t="s">
        <v>354</v>
      </c>
      <c r="B207" s="22">
        <v>45695</v>
      </c>
      <c r="C207" s="4" t="s">
        <v>248</v>
      </c>
      <c r="D207" s="4" t="s">
        <v>249</v>
      </c>
      <c r="E207" s="4" t="s">
        <v>46</v>
      </c>
      <c r="F207" s="4" t="s">
        <v>47</v>
      </c>
      <c r="G207" s="4" t="s">
        <v>48</v>
      </c>
      <c r="H207" s="4">
        <v>3</v>
      </c>
      <c r="I207" s="4">
        <v>149.99</v>
      </c>
      <c r="J207" s="4" t="s">
        <v>59</v>
      </c>
      <c r="K207" s="4" t="s">
        <v>42</v>
      </c>
      <c r="L207" s="4" t="s">
        <v>29</v>
      </c>
      <c r="M207" s="22">
        <v>44564</v>
      </c>
      <c r="N207" s="4">
        <v>449.97</v>
      </c>
    </row>
    <row r="208" spans="1:14" ht="15.75" customHeight="1">
      <c r="A208" s="4" t="s">
        <v>355</v>
      </c>
      <c r="B208" s="22">
        <v>45695</v>
      </c>
      <c r="C208" s="4" t="s">
        <v>95</v>
      </c>
      <c r="D208" s="4" t="s">
        <v>96</v>
      </c>
      <c r="E208" s="4" t="s">
        <v>107</v>
      </c>
      <c r="F208" s="4" t="s">
        <v>108</v>
      </c>
      <c r="G208" s="4" t="s">
        <v>48</v>
      </c>
      <c r="H208" s="4">
        <v>5</v>
      </c>
      <c r="I208" s="4">
        <v>299.99</v>
      </c>
      <c r="J208" s="4" t="s">
        <v>28</v>
      </c>
      <c r="K208" s="4" t="s">
        <v>37</v>
      </c>
      <c r="L208" s="4" t="s">
        <v>24</v>
      </c>
      <c r="M208" s="22">
        <v>44959</v>
      </c>
      <c r="N208" s="4">
        <v>1499.95</v>
      </c>
    </row>
    <row r="209" spans="1:14" ht="15.75" customHeight="1">
      <c r="A209" s="4" t="s">
        <v>356</v>
      </c>
      <c r="B209" s="22">
        <v>45696</v>
      </c>
      <c r="C209" s="4" t="s">
        <v>152</v>
      </c>
      <c r="D209" s="4" t="s">
        <v>153</v>
      </c>
      <c r="E209" s="4" t="s">
        <v>33</v>
      </c>
      <c r="F209" s="4" t="s">
        <v>34</v>
      </c>
      <c r="G209" s="4" t="s">
        <v>35</v>
      </c>
      <c r="H209" s="4">
        <v>5</v>
      </c>
      <c r="I209" s="4">
        <v>59.99</v>
      </c>
      <c r="J209" s="4" t="s">
        <v>59</v>
      </c>
      <c r="K209" s="4" t="s">
        <v>23</v>
      </c>
      <c r="L209" s="4" t="s">
        <v>38</v>
      </c>
      <c r="M209" s="22">
        <v>45177</v>
      </c>
      <c r="N209" s="4">
        <v>299.95</v>
      </c>
    </row>
    <row r="210" spans="1:14" ht="15.75" customHeight="1">
      <c r="A210" s="4" t="s">
        <v>357</v>
      </c>
      <c r="B210" s="22">
        <v>45701</v>
      </c>
      <c r="C210" s="4" t="s">
        <v>110</v>
      </c>
      <c r="D210" s="4" t="s">
        <v>111</v>
      </c>
      <c r="E210" s="4" t="s">
        <v>116</v>
      </c>
      <c r="F210" s="4" t="s">
        <v>117</v>
      </c>
      <c r="G210" s="4" t="s">
        <v>35</v>
      </c>
      <c r="H210" s="4">
        <v>3</v>
      </c>
      <c r="I210" s="4">
        <v>79.989999999999995</v>
      </c>
      <c r="J210" s="4" t="s">
        <v>22</v>
      </c>
      <c r="K210" s="4" t="s">
        <v>65</v>
      </c>
      <c r="L210" s="4" t="s">
        <v>29</v>
      </c>
      <c r="M210" s="22">
        <v>44436</v>
      </c>
      <c r="N210" s="4">
        <v>239.97</v>
      </c>
    </row>
    <row r="211" spans="1:14" ht="15.75" customHeight="1">
      <c r="A211" s="4" t="s">
        <v>358</v>
      </c>
      <c r="B211" s="22">
        <v>45704</v>
      </c>
      <c r="C211" s="4" t="s">
        <v>31</v>
      </c>
      <c r="D211" s="4" t="s">
        <v>32</v>
      </c>
      <c r="E211" s="4" t="s">
        <v>128</v>
      </c>
      <c r="F211" s="4" t="s">
        <v>129</v>
      </c>
      <c r="G211" s="4" t="s">
        <v>48</v>
      </c>
      <c r="H211" s="4">
        <v>3</v>
      </c>
      <c r="I211" s="4">
        <v>199.99</v>
      </c>
      <c r="J211" s="4" t="s">
        <v>22</v>
      </c>
      <c r="K211" s="4" t="s">
        <v>23</v>
      </c>
      <c r="L211" s="4" t="s">
        <v>24</v>
      </c>
      <c r="M211" s="22">
        <v>44735</v>
      </c>
      <c r="N211" s="4">
        <v>599.97</v>
      </c>
    </row>
    <row r="212" spans="1:14" ht="15.75" customHeight="1">
      <c r="A212" s="4" t="s">
        <v>359</v>
      </c>
      <c r="B212" s="22">
        <v>45704</v>
      </c>
      <c r="C212" s="4" t="s">
        <v>17</v>
      </c>
      <c r="D212" s="4" t="s">
        <v>18</v>
      </c>
      <c r="E212" s="4" t="s">
        <v>119</v>
      </c>
      <c r="F212" s="4" t="s">
        <v>120</v>
      </c>
      <c r="G212" s="4" t="s">
        <v>21</v>
      </c>
      <c r="H212" s="4">
        <v>2</v>
      </c>
      <c r="I212" s="4">
        <v>89.99</v>
      </c>
      <c r="J212" s="4" t="s">
        <v>36</v>
      </c>
      <c r="K212" s="4" t="s">
        <v>23</v>
      </c>
      <c r="L212" s="4" t="s">
        <v>24</v>
      </c>
      <c r="M212" s="22">
        <v>45257</v>
      </c>
      <c r="N212" s="4">
        <v>179.98</v>
      </c>
    </row>
    <row r="213" spans="1:14" ht="15.75" customHeight="1">
      <c r="A213" s="4" t="s">
        <v>360</v>
      </c>
      <c r="B213" s="22">
        <v>45705</v>
      </c>
      <c r="C213" s="4" t="s">
        <v>261</v>
      </c>
      <c r="D213" s="4" t="s">
        <v>262</v>
      </c>
      <c r="E213" s="4" t="s">
        <v>46</v>
      </c>
      <c r="F213" s="4" t="s">
        <v>47</v>
      </c>
      <c r="G213" s="4" t="s">
        <v>48</v>
      </c>
      <c r="H213" s="4">
        <v>2</v>
      </c>
      <c r="I213" s="4">
        <v>149.99</v>
      </c>
      <c r="J213" s="4" t="s">
        <v>22</v>
      </c>
      <c r="K213" s="4" t="s">
        <v>37</v>
      </c>
      <c r="L213" s="4" t="s">
        <v>29</v>
      </c>
      <c r="M213" s="22">
        <v>44728</v>
      </c>
      <c r="N213" s="4">
        <v>299.98</v>
      </c>
    </row>
    <row r="214" spans="1:14" ht="15.75" customHeight="1">
      <c r="A214" s="4" t="s">
        <v>361</v>
      </c>
      <c r="B214" s="22">
        <v>45707</v>
      </c>
      <c r="C214" s="4" t="s">
        <v>125</v>
      </c>
      <c r="D214" s="4" t="s">
        <v>126</v>
      </c>
      <c r="E214" s="4" t="s">
        <v>82</v>
      </c>
      <c r="F214" s="4" t="s">
        <v>83</v>
      </c>
      <c r="G214" s="4" t="s">
        <v>21</v>
      </c>
      <c r="H214" s="4">
        <v>5</v>
      </c>
      <c r="I214" s="4">
        <v>699.99</v>
      </c>
      <c r="J214" s="4" t="s">
        <v>36</v>
      </c>
      <c r="K214" s="4" t="s">
        <v>37</v>
      </c>
      <c r="L214" s="4" t="s">
        <v>29</v>
      </c>
      <c r="M214" s="22">
        <v>45352</v>
      </c>
      <c r="N214" s="4">
        <v>3499.95</v>
      </c>
    </row>
    <row r="215" spans="1:14" ht="15.75" customHeight="1">
      <c r="A215" s="4" t="s">
        <v>362</v>
      </c>
      <c r="B215" s="22">
        <v>45707</v>
      </c>
      <c r="C215" s="4" t="s">
        <v>44</v>
      </c>
      <c r="D215" s="4" t="s">
        <v>45</v>
      </c>
      <c r="E215" s="4" t="s">
        <v>46</v>
      </c>
      <c r="F215" s="4" t="s">
        <v>47</v>
      </c>
      <c r="G215" s="4" t="s">
        <v>48</v>
      </c>
      <c r="H215" s="4">
        <v>3</v>
      </c>
      <c r="I215" s="4">
        <v>149.99</v>
      </c>
      <c r="J215" s="4" t="s">
        <v>36</v>
      </c>
      <c r="K215" s="4" t="s">
        <v>23</v>
      </c>
      <c r="L215" s="4" t="s">
        <v>38</v>
      </c>
      <c r="M215" s="22">
        <v>44633</v>
      </c>
      <c r="N215" s="4">
        <v>449.97</v>
      </c>
    </row>
    <row r="216" spans="1:14" ht="15.75" customHeight="1">
      <c r="A216" s="4" t="s">
        <v>363</v>
      </c>
      <c r="B216" s="22">
        <v>45708</v>
      </c>
      <c r="C216" s="4" t="s">
        <v>98</v>
      </c>
      <c r="D216" s="4" t="s">
        <v>99</v>
      </c>
      <c r="E216" s="4" t="s">
        <v>63</v>
      </c>
      <c r="F216" s="4" t="s">
        <v>64</v>
      </c>
      <c r="G216" s="4" t="s">
        <v>21</v>
      </c>
      <c r="H216" s="4">
        <v>3</v>
      </c>
      <c r="I216" s="4">
        <v>899.99</v>
      </c>
      <c r="J216" s="4" t="s">
        <v>22</v>
      </c>
      <c r="K216" s="4" t="s">
        <v>65</v>
      </c>
      <c r="L216" s="4" t="s">
        <v>38</v>
      </c>
      <c r="M216" s="22">
        <v>44613</v>
      </c>
      <c r="N216" s="4">
        <v>2699.97</v>
      </c>
    </row>
    <row r="217" spans="1:14" ht="15.75" customHeight="1">
      <c r="A217" s="4" t="s">
        <v>364</v>
      </c>
      <c r="B217" s="22">
        <v>45708</v>
      </c>
      <c r="C217" s="4" t="s">
        <v>194</v>
      </c>
      <c r="D217" s="4" t="s">
        <v>195</v>
      </c>
      <c r="E217" s="4" t="s">
        <v>128</v>
      </c>
      <c r="F217" s="4" t="s">
        <v>129</v>
      </c>
      <c r="G217" s="4" t="s">
        <v>48</v>
      </c>
      <c r="H217" s="4">
        <v>3</v>
      </c>
      <c r="I217" s="4">
        <v>199.99</v>
      </c>
      <c r="J217" s="4" t="s">
        <v>22</v>
      </c>
      <c r="K217" s="4" t="s">
        <v>52</v>
      </c>
      <c r="L217" s="4" t="s">
        <v>29</v>
      </c>
      <c r="M217" s="22">
        <v>44823</v>
      </c>
      <c r="N217" s="4">
        <v>599.97</v>
      </c>
    </row>
    <row r="218" spans="1:14" ht="15.75" customHeight="1">
      <c r="A218" s="4" t="s">
        <v>365</v>
      </c>
      <c r="B218" s="22">
        <v>45710</v>
      </c>
      <c r="C218" s="4" t="s">
        <v>57</v>
      </c>
      <c r="D218" s="4" t="s">
        <v>58</v>
      </c>
      <c r="E218" s="4" t="s">
        <v>107</v>
      </c>
      <c r="F218" s="4" t="s">
        <v>108</v>
      </c>
      <c r="G218" s="4" t="s">
        <v>48</v>
      </c>
      <c r="H218" s="4">
        <v>5</v>
      </c>
      <c r="I218" s="4">
        <v>299.99</v>
      </c>
      <c r="J218" s="4" t="s">
        <v>22</v>
      </c>
      <c r="K218" s="4" t="s">
        <v>52</v>
      </c>
      <c r="L218" s="4" t="s">
        <v>38</v>
      </c>
      <c r="M218" s="22">
        <v>45142</v>
      </c>
      <c r="N218" s="4">
        <v>1499.95</v>
      </c>
    </row>
    <row r="219" spans="1:14" ht="15.75" customHeight="1">
      <c r="A219" s="4" t="s">
        <v>366</v>
      </c>
      <c r="B219" s="22">
        <v>45710</v>
      </c>
      <c r="C219" s="4" t="s">
        <v>152</v>
      </c>
      <c r="D219" s="4" t="s">
        <v>153</v>
      </c>
      <c r="E219" s="4" t="s">
        <v>82</v>
      </c>
      <c r="F219" s="4" t="s">
        <v>83</v>
      </c>
      <c r="G219" s="4" t="s">
        <v>21</v>
      </c>
      <c r="H219" s="4">
        <v>1</v>
      </c>
      <c r="I219" s="4">
        <v>699.99</v>
      </c>
      <c r="J219" s="4" t="s">
        <v>36</v>
      </c>
      <c r="K219" s="4" t="s">
        <v>52</v>
      </c>
      <c r="L219" s="4" t="s">
        <v>24</v>
      </c>
      <c r="M219" s="22">
        <v>44934</v>
      </c>
      <c r="N219" s="4">
        <v>699.99</v>
      </c>
    </row>
    <row r="220" spans="1:14" ht="15.75" customHeight="1">
      <c r="A220" s="4" t="s">
        <v>367</v>
      </c>
      <c r="B220" s="22">
        <v>45711</v>
      </c>
      <c r="C220" s="4" t="s">
        <v>248</v>
      </c>
      <c r="D220" s="4" t="s">
        <v>249</v>
      </c>
      <c r="E220" s="4" t="s">
        <v>82</v>
      </c>
      <c r="F220" s="4" t="s">
        <v>83</v>
      </c>
      <c r="G220" s="4" t="s">
        <v>21</v>
      </c>
      <c r="H220" s="4">
        <v>1</v>
      </c>
      <c r="I220" s="4">
        <v>699.99</v>
      </c>
      <c r="J220" s="4" t="s">
        <v>22</v>
      </c>
      <c r="K220" s="4" t="s">
        <v>42</v>
      </c>
      <c r="L220" s="4" t="s">
        <v>29</v>
      </c>
      <c r="M220" s="22">
        <v>44583</v>
      </c>
      <c r="N220" s="4">
        <v>699.99</v>
      </c>
    </row>
    <row r="221" spans="1:14" ht="15.75" customHeight="1">
      <c r="A221" s="4" t="s">
        <v>368</v>
      </c>
      <c r="B221" s="22">
        <v>45711</v>
      </c>
      <c r="C221" s="4" t="s">
        <v>327</v>
      </c>
      <c r="D221" s="4" t="s">
        <v>328</v>
      </c>
      <c r="E221" s="4" t="s">
        <v>46</v>
      </c>
      <c r="F221" s="4" t="s">
        <v>47</v>
      </c>
      <c r="G221" s="4" t="s">
        <v>48</v>
      </c>
      <c r="H221" s="4">
        <v>4</v>
      </c>
      <c r="I221" s="4">
        <v>149.99</v>
      </c>
      <c r="J221" s="4" t="s">
        <v>36</v>
      </c>
      <c r="K221" s="4" t="s">
        <v>42</v>
      </c>
      <c r="L221" s="4" t="s">
        <v>29</v>
      </c>
      <c r="M221" s="22">
        <v>44412</v>
      </c>
      <c r="N221" s="4">
        <v>599.96</v>
      </c>
    </row>
    <row r="222" spans="1:14" ht="15.75" customHeight="1">
      <c r="A222" s="4" t="s">
        <v>369</v>
      </c>
      <c r="B222" s="22">
        <v>45711</v>
      </c>
      <c r="C222" s="4" t="s">
        <v>213</v>
      </c>
      <c r="D222" s="4" t="s">
        <v>214</v>
      </c>
      <c r="E222" s="4" t="s">
        <v>119</v>
      </c>
      <c r="F222" s="4" t="s">
        <v>120</v>
      </c>
      <c r="G222" s="4" t="s">
        <v>21</v>
      </c>
      <c r="H222" s="4">
        <v>5</v>
      </c>
      <c r="I222" s="4">
        <v>89.99</v>
      </c>
      <c r="J222" s="4" t="s">
        <v>36</v>
      </c>
      <c r="K222" s="4" t="s">
        <v>52</v>
      </c>
      <c r="L222" s="4" t="s">
        <v>29</v>
      </c>
      <c r="M222" s="22">
        <v>45140</v>
      </c>
      <c r="N222" s="4">
        <v>449.95</v>
      </c>
    </row>
    <row r="223" spans="1:14" ht="15.75" customHeight="1">
      <c r="A223" s="4" t="s">
        <v>370</v>
      </c>
      <c r="B223" s="22">
        <v>45712</v>
      </c>
      <c r="C223" s="4" t="s">
        <v>140</v>
      </c>
      <c r="D223" s="4" t="s">
        <v>141</v>
      </c>
      <c r="E223" s="4" t="s">
        <v>128</v>
      </c>
      <c r="F223" s="4" t="s">
        <v>129</v>
      </c>
      <c r="G223" s="4" t="s">
        <v>48</v>
      </c>
      <c r="H223" s="4">
        <v>2</v>
      </c>
      <c r="I223" s="4">
        <v>199.99</v>
      </c>
      <c r="J223" s="4" t="s">
        <v>22</v>
      </c>
      <c r="K223" s="4" t="s">
        <v>23</v>
      </c>
      <c r="L223" s="4" t="s">
        <v>29</v>
      </c>
      <c r="M223" s="22">
        <v>44573</v>
      </c>
      <c r="N223" s="4">
        <v>399.98</v>
      </c>
    </row>
    <row r="224" spans="1:14" ht="15.75" customHeight="1">
      <c r="A224" s="4" t="s">
        <v>371</v>
      </c>
      <c r="B224" s="22">
        <v>45715</v>
      </c>
      <c r="C224" s="4" t="s">
        <v>261</v>
      </c>
      <c r="D224" s="4" t="s">
        <v>262</v>
      </c>
      <c r="E224" s="4" t="s">
        <v>33</v>
      </c>
      <c r="F224" s="4" t="s">
        <v>34</v>
      </c>
      <c r="G224" s="4" t="s">
        <v>35</v>
      </c>
      <c r="H224" s="4">
        <v>4</v>
      </c>
      <c r="I224" s="4">
        <v>59.99</v>
      </c>
      <c r="J224" s="4" t="s">
        <v>22</v>
      </c>
      <c r="K224" s="4" t="s">
        <v>52</v>
      </c>
      <c r="L224" s="4" t="s">
        <v>38</v>
      </c>
      <c r="M224" s="22">
        <v>45070</v>
      </c>
      <c r="N224" s="4">
        <v>239.96</v>
      </c>
    </row>
    <row r="225" spans="1:14" ht="15.75" customHeight="1">
      <c r="A225" s="4" t="s">
        <v>372</v>
      </c>
      <c r="B225" s="22">
        <v>45715</v>
      </c>
      <c r="C225" s="4" t="s">
        <v>95</v>
      </c>
      <c r="D225" s="4" t="s">
        <v>96</v>
      </c>
      <c r="E225" s="4" t="s">
        <v>107</v>
      </c>
      <c r="F225" s="4" t="s">
        <v>108</v>
      </c>
      <c r="G225" s="4" t="s">
        <v>48</v>
      </c>
      <c r="H225" s="4">
        <v>2</v>
      </c>
      <c r="I225" s="4">
        <v>299.99</v>
      </c>
      <c r="J225" s="4" t="s">
        <v>36</v>
      </c>
      <c r="K225" s="4" t="s">
        <v>37</v>
      </c>
      <c r="L225" s="4" t="s">
        <v>24</v>
      </c>
      <c r="M225" s="22">
        <v>44576</v>
      </c>
      <c r="N225" s="4">
        <v>599.98</v>
      </c>
    </row>
    <row r="226" spans="1:14" ht="15.75" customHeight="1">
      <c r="A226" s="4" t="s">
        <v>373</v>
      </c>
      <c r="B226" s="22">
        <v>45718</v>
      </c>
      <c r="C226" s="4" t="s">
        <v>57</v>
      </c>
      <c r="D226" s="4" t="s">
        <v>58</v>
      </c>
      <c r="E226" s="4" t="s">
        <v>46</v>
      </c>
      <c r="F226" s="4" t="s">
        <v>47</v>
      </c>
      <c r="G226" s="4" t="s">
        <v>48</v>
      </c>
      <c r="H226" s="4">
        <v>2</v>
      </c>
      <c r="I226" s="4">
        <v>149.99</v>
      </c>
      <c r="J226" s="4" t="s">
        <v>22</v>
      </c>
      <c r="K226" s="4" t="s">
        <v>23</v>
      </c>
      <c r="L226" s="4" t="s">
        <v>24</v>
      </c>
      <c r="M226" s="22">
        <v>45068</v>
      </c>
      <c r="N226" s="4">
        <v>299.98</v>
      </c>
    </row>
    <row r="227" spans="1:14" ht="15.75" customHeight="1">
      <c r="A227" s="4" t="s">
        <v>374</v>
      </c>
      <c r="B227" s="22">
        <v>45720</v>
      </c>
      <c r="C227" s="4" t="s">
        <v>228</v>
      </c>
      <c r="D227" s="4" t="s">
        <v>229</v>
      </c>
      <c r="E227" s="4" t="s">
        <v>82</v>
      </c>
      <c r="F227" s="4" t="s">
        <v>83</v>
      </c>
      <c r="G227" s="4" t="s">
        <v>21</v>
      </c>
      <c r="H227" s="4">
        <v>5</v>
      </c>
      <c r="I227" s="4">
        <v>699.99</v>
      </c>
      <c r="J227" s="4" t="s">
        <v>59</v>
      </c>
      <c r="K227" s="4" t="s">
        <v>65</v>
      </c>
      <c r="L227" s="4" t="s">
        <v>29</v>
      </c>
      <c r="M227" s="22">
        <v>45161</v>
      </c>
      <c r="N227" s="4">
        <v>3499.95</v>
      </c>
    </row>
    <row r="228" spans="1:14" ht="15.75" customHeight="1">
      <c r="A228" s="4" t="s">
        <v>375</v>
      </c>
      <c r="B228" s="22">
        <v>45721</v>
      </c>
      <c r="C228" s="4" t="s">
        <v>77</v>
      </c>
      <c r="D228" s="4" t="s">
        <v>78</v>
      </c>
      <c r="E228" s="4" t="s">
        <v>33</v>
      </c>
      <c r="F228" s="4" t="s">
        <v>34</v>
      </c>
      <c r="G228" s="4" t="s">
        <v>35</v>
      </c>
      <c r="H228" s="4">
        <v>5</v>
      </c>
      <c r="I228" s="4">
        <v>59.99</v>
      </c>
      <c r="J228" s="4" t="s">
        <v>22</v>
      </c>
      <c r="K228" s="4" t="s">
        <v>52</v>
      </c>
      <c r="L228" s="4" t="s">
        <v>29</v>
      </c>
      <c r="M228" s="22">
        <v>45291</v>
      </c>
      <c r="N228" s="4">
        <v>299.95</v>
      </c>
    </row>
    <row r="229" spans="1:14" ht="15.75" customHeight="1">
      <c r="A229" s="4" t="s">
        <v>376</v>
      </c>
      <c r="B229" s="22">
        <v>45723</v>
      </c>
      <c r="C229" s="4" t="s">
        <v>17</v>
      </c>
      <c r="D229" s="4" t="s">
        <v>18</v>
      </c>
      <c r="E229" s="4" t="s">
        <v>119</v>
      </c>
      <c r="F229" s="4" t="s">
        <v>120</v>
      </c>
      <c r="G229" s="4" t="s">
        <v>21</v>
      </c>
      <c r="H229" s="4">
        <v>2</v>
      </c>
      <c r="I229" s="4">
        <v>89.99</v>
      </c>
      <c r="J229" s="4" t="s">
        <v>28</v>
      </c>
      <c r="K229" s="4" t="s">
        <v>52</v>
      </c>
      <c r="L229" s="4" t="s">
        <v>29</v>
      </c>
      <c r="M229" s="22">
        <v>45295</v>
      </c>
      <c r="N229" s="4">
        <v>179.98</v>
      </c>
    </row>
    <row r="230" spans="1:14" ht="15.75" customHeight="1">
      <c r="A230" s="4" t="s">
        <v>377</v>
      </c>
      <c r="B230" s="22">
        <v>45723</v>
      </c>
      <c r="C230" s="4" t="s">
        <v>122</v>
      </c>
      <c r="D230" s="4" t="s">
        <v>123</v>
      </c>
      <c r="E230" s="4" t="s">
        <v>19</v>
      </c>
      <c r="F230" s="4" t="s">
        <v>20</v>
      </c>
      <c r="G230" s="4" t="s">
        <v>21</v>
      </c>
      <c r="H230" s="4">
        <v>5</v>
      </c>
      <c r="I230" s="4">
        <v>249.99</v>
      </c>
      <c r="J230" s="4" t="s">
        <v>22</v>
      </c>
      <c r="K230" s="4" t="s">
        <v>65</v>
      </c>
      <c r="L230" s="4" t="s">
        <v>38</v>
      </c>
      <c r="M230" s="22">
        <v>44540</v>
      </c>
      <c r="N230" s="4">
        <v>1249.95</v>
      </c>
    </row>
    <row r="231" spans="1:14" ht="15.75" customHeight="1">
      <c r="A231" s="4" t="s">
        <v>378</v>
      </c>
      <c r="B231" s="22">
        <v>45724</v>
      </c>
      <c r="C231" s="4" t="s">
        <v>228</v>
      </c>
      <c r="D231" s="4" t="s">
        <v>229</v>
      </c>
      <c r="E231" s="4" t="s">
        <v>46</v>
      </c>
      <c r="F231" s="4" t="s">
        <v>47</v>
      </c>
      <c r="G231" s="4" t="s">
        <v>48</v>
      </c>
      <c r="H231" s="4">
        <v>2</v>
      </c>
      <c r="I231" s="4">
        <v>149.99</v>
      </c>
      <c r="J231" s="4" t="s">
        <v>36</v>
      </c>
      <c r="K231" s="4" t="s">
        <v>23</v>
      </c>
      <c r="L231" s="4" t="s">
        <v>29</v>
      </c>
      <c r="M231" s="22">
        <v>44632</v>
      </c>
      <c r="N231" s="4">
        <v>299.98</v>
      </c>
    </row>
    <row r="232" spans="1:14" ht="15.75" customHeight="1">
      <c r="A232" s="4" t="s">
        <v>379</v>
      </c>
      <c r="B232" s="22">
        <v>45724</v>
      </c>
      <c r="C232" s="4" t="s">
        <v>146</v>
      </c>
      <c r="D232" s="4" t="s">
        <v>147</v>
      </c>
      <c r="E232" s="4" t="s">
        <v>63</v>
      </c>
      <c r="F232" s="4" t="s">
        <v>64</v>
      </c>
      <c r="G232" s="4" t="s">
        <v>21</v>
      </c>
      <c r="H232" s="4">
        <v>5</v>
      </c>
      <c r="I232" s="4">
        <v>899.99</v>
      </c>
      <c r="J232" s="4" t="s">
        <v>36</v>
      </c>
      <c r="K232" s="4" t="s">
        <v>65</v>
      </c>
      <c r="L232" s="4" t="s">
        <v>29</v>
      </c>
      <c r="M232" s="22">
        <v>45389</v>
      </c>
      <c r="N232" s="4">
        <v>4499.95</v>
      </c>
    </row>
    <row r="233" spans="1:14" ht="15.75" customHeight="1">
      <c r="A233" s="4" t="s">
        <v>380</v>
      </c>
      <c r="B233" s="22">
        <v>45724</v>
      </c>
      <c r="C233" s="4" t="s">
        <v>57</v>
      </c>
      <c r="D233" s="4" t="s">
        <v>58</v>
      </c>
      <c r="E233" s="4" t="s">
        <v>46</v>
      </c>
      <c r="F233" s="4" t="s">
        <v>47</v>
      </c>
      <c r="G233" s="4" t="s">
        <v>48</v>
      </c>
      <c r="H233" s="4">
        <v>4</v>
      </c>
      <c r="I233" s="4">
        <v>149.99</v>
      </c>
      <c r="J233" s="4" t="s">
        <v>22</v>
      </c>
      <c r="K233" s="4" t="s">
        <v>23</v>
      </c>
      <c r="L233" s="4" t="s">
        <v>38</v>
      </c>
      <c r="M233" s="22">
        <v>45263</v>
      </c>
      <c r="N233" s="4">
        <v>599.96</v>
      </c>
    </row>
    <row r="234" spans="1:14" ht="15.75" customHeight="1">
      <c r="A234" s="4" t="s">
        <v>381</v>
      </c>
      <c r="B234" s="22">
        <v>45726</v>
      </c>
      <c r="C234" s="4" t="s">
        <v>146</v>
      </c>
      <c r="D234" s="4" t="s">
        <v>147</v>
      </c>
      <c r="E234" s="4" t="s">
        <v>19</v>
      </c>
      <c r="F234" s="4" t="s">
        <v>20</v>
      </c>
      <c r="G234" s="4" t="s">
        <v>21</v>
      </c>
      <c r="H234" s="4">
        <v>1</v>
      </c>
      <c r="I234" s="4">
        <v>249.99</v>
      </c>
      <c r="J234" s="4" t="s">
        <v>22</v>
      </c>
      <c r="K234" s="4" t="s">
        <v>42</v>
      </c>
      <c r="L234" s="4" t="s">
        <v>38</v>
      </c>
      <c r="M234" s="22">
        <v>45117</v>
      </c>
      <c r="N234" s="4">
        <v>249.99</v>
      </c>
    </row>
    <row r="235" spans="1:14" ht="15.75" customHeight="1">
      <c r="A235" s="4" t="s">
        <v>382</v>
      </c>
      <c r="B235" s="22">
        <v>45734</v>
      </c>
      <c r="C235" s="4" t="s">
        <v>194</v>
      </c>
      <c r="D235" s="4" t="s">
        <v>195</v>
      </c>
      <c r="E235" s="4" t="s">
        <v>33</v>
      </c>
      <c r="F235" s="4" t="s">
        <v>34</v>
      </c>
      <c r="G235" s="4" t="s">
        <v>35</v>
      </c>
      <c r="H235" s="4">
        <v>2</v>
      </c>
      <c r="I235" s="4">
        <v>59.99</v>
      </c>
      <c r="J235" s="4" t="s">
        <v>28</v>
      </c>
      <c r="K235" s="4" t="s">
        <v>52</v>
      </c>
      <c r="L235" s="4" t="s">
        <v>24</v>
      </c>
      <c r="M235" s="22">
        <v>45193</v>
      </c>
      <c r="N235" s="4">
        <v>119.98</v>
      </c>
    </row>
    <row r="236" spans="1:14" ht="15.75" customHeight="1">
      <c r="A236" s="4" t="s">
        <v>383</v>
      </c>
      <c r="B236" s="22">
        <v>45737</v>
      </c>
      <c r="C236" s="4" t="s">
        <v>134</v>
      </c>
      <c r="D236" s="4" t="s">
        <v>135</v>
      </c>
      <c r="E236" s="4" t="s">
        <v>46</v>
      </c>
      <c r="F236" s="4" t="s">
        <v>47</v>
      </c>
      <c r="G236" s="4" t="s">
        <v>48</v>
      </c>
      <c r="H236" s="4">
        <v>2</v>
      </c>
      <c r="I236" s="4">
        <v>149.99</v>
      </c>
      <c r="J236" s="4" t="s">
        <v>22</v>
      </c>
      <c r="K236" s="4" t="s">
        <v>52</v>
      </c>
      <c r="L236" s="4" t="s">
        <v>29</v>
      </c>
      <c r="M236" s="22">
        <v>45233</v>
      </c>
      <c r="N236" s="4">
        <v>299.98</v>
      </c>
    </row>
    <row r="237" spans="1:14" ht="15.75" customHeight="1">
      <c r="A237" s="4" t="s">
        <v>384</v>
      </c>
      <c r="B237" s="22">
        <v>45737</v>
      </c>
      <c r="C237" s="4" t="s">
        <v>152</v>
      </c>
      <c r="D237" s="4" t="s">
        <v>153</v>
      </c>
      <c r="E237" s="4" t="s">
        <v>63</v>
      </c>
      <c r="F237" s="4" t="s">
        <v>64</v>
      </c>
      <c r="G237" s="4" t="s">
        <v>21</v>
      </c>
      <c r="H237" s="4">
        <v>3</v>
      </c>
      <c r="I237" s="4">
        <v>899.99</v>
      </c>
      <c r="J237" s="4" t="s">
        <v>59</v>
      </c>
      <c r="K237" s="4" t="s">
        <v>42</v>
      </c>
      <c r="L237" s="4" t="s">
        <v>29</v>
      </c>
      <c r="M237" s="22">
        <v>44876</v>
      </c>
      <c r="N237" s="4">
        <v>2699.97</v>
      </c>
    </row>
    <row r="238" spans="1:14" ht="15.75" customHeight="1">
      <c r="A238" s="4" t="s">
        <v>385</v>
      </c>
      <c r="B238" s="22">
        <v>45737</v>
      </c>
      <c r="C238" s="4" t="s">
        <v>50</v>
      </c>
      <c r="D238" s="4" t="s">
        <v>51</v>
      </c>
      <c r="E238" s="4" t="s">
        <v>63</v>
      </c>
      <c r="F238" s="4" t="s">
        <v>64</v>
      </c>
      <c r="G238" s="4" t="s">
        <v>21</v>
      </c>
      <c r="H238" s="4">
        <v>3</v>
      </c>
      <c r="I238" s="4">
        <v>899.99</v>
      </c>
      <c r="J238" s="4" t="s">
        <v>36</v>
      </c>
      <c r="K238" s="4" t="s">
        <v>42</v>
      </c>
      <c r="L238" s="4" t="s">
        <v>24</v>
      </c>
      <c r="M238" s="22">
        <v>44975</v>
      </c>
      <c r="N238" s="4">
        <v>2699.97</v>
      </c>
    </row>
    <row r="239" spans="1:14" ht="15.75" customHeight="1">
      <c r="A239" s="4" t="s">
        <v>386</v>
      </c>
      <c r="B239" s="22">
        <v>45739</v>
      </c>
      <c r="C239" s="4" t="s">
        <v>17</v>
      </c>
      <c r="D239" s="4" t="s">
        <v>18</v>
      </c>
      <c r="E239" s="4" t="s">
        <v>107</v>
      </c>
      <c r="F239" s="4" t="s">
        <v>108</v>
      </c>
      <c r="G239" s="4" t="s">
        <v>48</v>
      </c>
      <c r="H239" s="4">
        <v>3</v>
      </c>
      <c r="I239" s="4">
        <v>299.99</v>
      </c>
      <c r="J239" s="4" t="s">
        <v>28</v>
      </c>
      <c r="K239" s="4" t="s">
        <v>52</v>
      </c>
      <c r="L239" s="4" t="s">
        <v>29</v>
      </c>
      <c r="M239" s="22">
        <v>45234</v>
      </c>
      <c r="N239" s="4">
        <v>899.97</v>
      </c>
    </row>
    <row r="240" spans="1:14" ht="15.75" customHeight="1">
      <c r="A240" s="4" t="s">
        <v>387</v>
      </c>
      <c r="B240" s="22">
        <v>45740</v>
      </c>
      <c r="C240" s="4" t="s">
        <v>388</v>
      </c>
      <c r="D240" s="4" t="s">
        <v>389</v>
      </c>
      <c r="E240" s="4" t="s">
        <v>46</v>
      </c>
      <c r="F240" s="4" t="s">
        <v>47</v>
      </c>
      <c r="G240" s="4" t="s">
        <v>48</v>
      </c>
      <c r="H240" s="4">
        <v>4</v>
      </c>
      <c r="I240" s="4">
        <v>149.99</v>
      </c>
      <c r="J240" s="4" t="s">
        <v>36</v>
      </c>
      <c r="K240" s="4" t="s">
        <v>52</v>
      </c>
      <c r="L240" s="4" t="s">
        <v>38</v>
      </c>
      <c r="M240" s="22">
        <v>44560</v>
      </c>
      <c r="N240" s="4">
        <v>599.96</v>
      </c>
    </row>
    <row r="241" spans="1:14" ht="15.75" customHeight="1">
      <c r="A241" s="4" t="s">
        <v>390</v>
      </c>
      <c r="B241" s="22">
        <v>45743</v>
      </c>
      <c r="C241" s="4" t="s">
        <v>104</v>
      </c>
      <c r="D241" s="4" t="s">
        <v>105</v>
      </c>
      <c r="E241" s="4" t="s">
        <v>116</v>
      </c>
      <c r="F241" s="4" t="s">
        <v>117</v>
      </c>
      <c r="G241" s="4" t="s">
        <v>35</v>
      </c>
      <c r="H241" s="4">
        <v>4</v>
      </c>
      <c r="I241" s="4">
        <v>79.989999999999995</v>
      </c>
      <c r="J241" s="4" t="s">
        <v>28</v>
      </c>
      <c r="K241" s="4" t="s">
        <v>23</v>
      </c>
      <c r="L241" s="4" t="s">
        <v>24</v>
      </c>
      <c r="M241" s="22">
        <v>45288</v>
      </c>
      <c r="N241" s="4">
        <v>319.95999999999998</v>
      </c>
    </row>
    <row r="242" spans="1:14" ht="15.75" customHeight="1">
      <c r="A242" s="4" t="s">
        <v>391</v>
      </c>
      <c r="B242" s="22">
        <v>45745</v>
      </c>
      <c r="C242" s="4" t="s">
        <v>187</v>
      </c>
      <c r="D242" s="4" t="s">
        <v>188</v>
      </c>
      <c r="E242" s="4" t="s">
        <v>119</v>
      </c>
      <c r="F242" s="4" t="s">
        <v>120</v>
      </c>
      <c r="G242" s="4" t="s">
        <v>21</v>
      </c>
      <c r="H242" s="4">
        <v>5</v>
      </c>
      <c r="I242" s="4">
        <v>89.99</v>
      </c>
      <c r="J242" s="4" t="s">
        <v>36</v>
      </c>
      <c r="K242" s="4" t="s">
        <v>37</v>
      </c>
      <c r="L242" s="4" t="s">
        <v>24</v>
      </c>
      <c r="M242" s="22">
        <v>44704</v>
      </c>
      <c r="N242" s="4">
        <v>449.95</v>
      </c>
    </row>
    <row r="243" spans="1:14" ht="15.75" customHeight="1">
      <c r="A243" s="4" t="s">
        <v>392</v>
      </c>
      <c r="B243" s="22">
        <v>45746</v>
      </c>
      <c r="C243" s="4" t="s">
        <v>95</v>
      </c>
      <c r="D243" s="4" t="s">
        <v>96</v>
      </c>
      <c r="E243" s="4" t="s">
        <v>46</v>
      </c>
      <c r="F243" s="4" t="s">
        <v>47</v>
      </c>
      <c r="G243" s="4" t="s">
        <v>48</v>
      </c>
      <c r="H243" s="4">
        <v>3</v>
      </c>
      <c r="I243" s="4">
        <v>149.99</v>
      </c>
      <c r="J243" s="4" t="s">
        <v>36</v>
      </c>
      <c r="K243" s="4" t="s">
        <v>23</v>
      </c>
      <c r="L243" s="4" t="s">
        <v>38</v>
      </c>
      <c r="M243" s="22">
        <v>45171</v>
      </c>
      <c r="N243" s="4">
        <v>449.97</v>
      </c>
    </row>
    <row r="244" spans="1:14" ht="15.75" customHeight="1">
      <c r="A244" s="4" t="s">
        <v>393</v>
      </c>
      <c r="B244" s="22">
        <v>45746</v>
      </c>
      <c r="C244" s="4" t="s">
        <v>67</v>
      </c>
      <c r="D244" s="4" t="s">
        <v>68</v>
      </c>
      <c r="E244" s="4" t="s">
        <v>119</v>
      </c>
      <c r="F244" s="4" t="s">
        <v>120</v>
      </c>
      <c r="G244" s="4" t="s">
        <v>21</v>
      </c>
      <c r="H244" s="4">
        <v>2</v>
      </c>
      <c r="I244" s="4">
        <v>89.99</v>
      </c>
      <c r="J244" s="4" t="s">
        <v>59</v>
      </c>
      <c r="K244" s="4" t="s">
        <v>52</v>
      </c>
      <c r="L244" s="4" t="s">
        <v>29</v>
      </c>
      <c r="M244" s="22">
        <v>44522</v>
      </c>
      <c r="N244" s="4">
        <v>179.98</v>
      </c>
    </row>
    <row r="245" spans="1:14" ht="15.75" customHeight="1">
      <c r="A245" s="4" t="s">
        <v>394</v>
      </c>
      <c r="B245" s="22">
        <v>45748</v>
      </c>
      <c r="C245" s="4" t="s">
        <v>104</v>
      </c>
      <c r="D245" s="4" t="s">
        <v>105</v>
      </c>
      <c r="E245" s="4" t="s">
        <v>82</v>
      </c>
      <c r="F245" s="4" t="s">
        <v>83</v>
      </c>
      <c r="G245" s="4" t="s">
        <v>21</v>
      </c>
      <c r="H245" s="4">
        <v>2</v>
      </c>
      <c r="I245" s="4">
        <v>699.99</v>
      </c>
      <c r="J245" s="4" t="s">
        <v>36</v>
      </c>
      <c r="K245" s="4" t="s">
        <v>42</v>
      </c>
      <c r="L245" s="4" t="s">
        <v>38</v>
      </c>
      <c r="M245" s="22">
        <v>44618</v>
      </c>
      <c r="N245" s="4">
        <v>1399.98</v>
      </c>
    </row>
    <row r="246" spans="1:14" ht="15.75" customHeight="1">
      <c r="A246" s="4" t="s">
        <v>395</v>
      </c>
      <c r="B246" s="22">
        <v>45749</v>
      </c>
      <c r="C246" s="4" t="s">
        <v>125</v>
      </c>
      <c r="D246" s="4" t="s">
        <v>126</v>
      </c>
      <c r="E246" s="4" t="s">
        <v>63</v>
      </c>
      <c r="F246" s="4" t="s">
        <v>64</v>
      </c>
      <c r="G246" s="4" t="s">
        <v>21</v>
      </c>
      <c r="H246" s="4">
        <v>3</v>
      </c>
      <c r="I246" s="4">
        <v>899.99</v>
      </c>
      <c r="J246" s="4" t="s">
        <v>22</v>
      </c>
      <c r="K246" s="4" t="s">
        <v>23</v>
      </c>
      <c r="L246" s="4" t="s">
        <v>38</v>
      </c>
      <c r="M246" s="22">
        <v>44953</v>
      </c>
      <c r="N246" s="4">
        <v>2699.97</v>
      </c>
    </row>
    <row r="247" spans="1:14" ht="15.75" customHeight="1">
      <c r="A247" s="4" t="s">
        <v>396</v>
      </c>
      <c r="B247" s="22">
        <v>45755</v>
      </c>
      <c r="C247" s="4" t="s">
        <v>95</v>
      </c>
      <c r="D247" s="4" t="s">
        <v>96</v>
      </c>
      <c r="E247" s="4" t="s">
        <v>116</v>
      </c>
      <c r="F247" s="4" t="s">
        <v>117</v>
      </c>
      <c r="G247" s="4" t="s">
        <v>35</v>
      </c>
      <c r="H247" s="4">
        <v>3</v>
      </c>
      <c r="I247" s="4">
        <v>79.989999999999995</v>
      </c>
      <c r="J247" s="4" t="s">
        <v>28</v>
      </c>
      <c r="K247" s="4" t="s">
        <v>42</v>
      </c>
      <c r="L247" s="4" t="s">
        <v>24</v>
      </c>
      <c r="M247" s="22">
        <v>44511</v>
      </c>
      <c r="N247" s="4">
        <v>239.97</v>
      </c>
    </row>
    <row r="248" spans="1:14" ht="15.75" customHeight="1">
      <c r="A248" s="4" t="s">
        <v>397</v>
      </c>
      <c r="B248" s="22">
        <v>45756</v>
      </c>
      <c r="C248" s="4" t="s">
        <v>61</v>
      </c>
      <c r="D248" s="4" t="s">
        <v>62</v>
      </c>
      <c r="E248" s="4" t="s">
        <v>119</v>
      </c>
      <c r="F248" s="4" t="s">
        <v>120</v>
      </c>
      <c r="G248" s="4" t="s">
        <v>21</v>
      </c>
      <c r="H248" s="4">
        <v>1</v>
      </c>
      <c r="I248" s="4">
        <v>89.99</v>
      </c>
      <c r="J248" s="4" t="s">
        <v>59</v>
      </c>
      <c r="K248" s="4" t="s">
        <v>65</v>
      </c>
      <c r="L248" s="4" t="s">
        <v>24</v>
      </c>
      <c r="M248" s="22">
        <v>45346</v>
      </c>
      <c r="N248" s="4">
        <v>89.99</v>
      </c>
    </row>
    <row r="249" spans="1:14" ht="15.75" customHeight="1">
      <c r="A249" s="4" t="s">
        <v>398</v>
      </c>
      <c r="B249" s="22">
        <v>45758</v>
      </c>
      <c r="C249" s="4" t="s">
        <v>295</v>
      </c>
      <c r="D249" s="4" t="s">
        <v>296</v>
      </c>
      <c r="E249" s="4" t="s">
        <v>82</v>
      </c>
      <c r="F249" s="4" t="s">
        <v>83</v>
      </c>
      <c r="G249" s="4" t="s">
        <v>21</v>
      </c>
      <c r="H249" s="4">
        <v>3</v>
      </c>
      <c r="I249" s="4">
        <v>699.99</v>
      </c>
      <c r="J249" s="4" t="s">
        <v>36</v>
      </c>
      <c r="K249" s="4" t="s">
        <v>42</v>
      </c>
      <c r="L249" s="4" t="s">
        <v>24</v>
      </c>
      <c r="M249" s="22">
        <v>44909</v>
      </c>
      <c r="N249" s="4">
        <v>2099.9699999999998</v>
      </c>
    </row>
    <row r="250" spans="1:14" ht="15.75" customHeight="1">
      <c r="A250" s="4" t="s">
        <v>399</v>
      </c>
      <c r="B250" s="22">
        <v>45758</v>
      </c>
      <c r="C250" s="4" t="s">
        <v>228</v>
      </c>
      <c r="D250" s="4" t="s">
        <v>229</v>
      </c>
      <c r="E250" s="4" t="s">
        <v>119</v>
      </c>
      <c r="F250" s="4" t="s">
        <v>120</v>
      </c>
      <c r="G250" s="4" t="s">
        <v>21</v>
      </c>
      <c r="H250" s="4">
        <v>2</v>
      </c>
      <c r="I250" s="4">
        <v>89.99</v>
      </c>
      <c r="J250" s="4" t="s">
        <v>59</v>
      </c>
      <c r="K250" s="4" t="s">
        <v>65</v>
      </c>
      <c r="L250" s="4" t="s">
        <v>24</v>
      </c>
      <c r="M250" s="22">
        <v>45088</v>
      </c>
      <c r="N250" s="4">
        <v>179.98</v>
      </c>
    </row>
    <row r="251" spans="1:14" ht="15.75" customHeight="1">
      <c r="A251" s="4" t="s">
        <v>400</v>
      </c>
      <c r="B251" s="22">
        <v>45758</v>
      </c>
      <c r="C251" s="4" t="s">
        <v>140</v>
      </c>
      <c r="D251" s="4" t="s">
        <v>141</v>
      </c>
      <c r="E251" s="4" t="s">
        <v>119</v>
      </c>
      <c r="F251" s="4" t="s">
        <v>120</v>
      </c>
      <c r="G251" s="4" t="s">
        <v>21</v>
      </c>
      <c r="H251" s="4">
        <v>3</v>
      </c>
      <c r="I251" s="4">
        <v>89.99</v>
      </c>
      <c r="J251" s="4" t="s">
        <v>59</v>
      </c>
      <c r="K251" s="4" t="s">
        <v>42</v>
      </c>
      <c r="L251" s="4" t="s">
        <v>29</v>
      </c>
      <c r="M251" s="22">
        <v>44878</v>
      </c>
      <c r="N251" s="4">
        <v>269.97000000000003</v>
      </c>
    </row>
    <row r="252" spans="1:14" ht="15.75" customHeight="1"/>
    <row r="253" spans="1:14" ht="15.75" customHeight="1"/>
    <row r="254" spans="1:14" ht="15.75" customHeight="1"/>
    <row r="255" spans="1:14" ht="15.75" customHeight="1"/>
    <row r="256" spans="1:1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CA7A-B881-4E9C-A28E-767BC2755942}">
  <dimension ref="A1:S100"/>
  <sheetViews>
    <sheetView zoomScaleNormal="100" workbookViewId="0">
      <selection activeCell="D68" sqref="D68"/>
    </sheetView>
  </sheetViews>
  <sheetFormatPr defaultRowHeight="14.4"/>
  <cols>
    <col min="1" max="1" width="15.109375" bestFit="1" customWidth="1"/>
    <col min="2" max="2" width="16.109375" bestFit="1" customWidth="1"/>
    <col min="3" max="3" width="15.109375" bestFit="1" customWidth="1"/>
    <col min="4" max="4" width="10.44140625" bestFit="1" customWidth="1"/>
    <col min="6" max="6" width="10.44140625" bestFit="1" customWidth="1"/>
    <col min="7" max="7" width="10.33203125" style="7" bestFit="1" customWidth="1"/>
    <col min="8" max="8" width="8.33203125" bestFit="1" customWidth="1"/>
    <col min="11" max="11" width="7.6640625" bestFit="1" customWidth="1"/>
    <col min="12" max="12" width="9.88671875" bestFit="1" customWidth="1"/>
    <col min="13" max="13" width="10.77734375" bestFit="1" customWidth="1"/>
    <col min="18" max="18" width="10.33203125" style="7" bestFit="1" customWidth="1"/>
  </cols>
  <sheetData>
    <row r="1" spans="1:19" ht="43.2" customHeight="1">
      <c r="A1" s="17" t="s">
        <v>429</v>
      </c>
      <c r="B1" s="18" t="s">
        <v>430</v>
      </c>
      <c r="C1" s="18" t="s">
        <v>401</v>
      </c>
      <c r="D1" s="19" t="s">
        <v>403</v>
      </c>
      <c r="G1" s="47" t="s">
        <v>402</v>
      </c>
      <c r="H1" s="47"/>
      <c r="I1" s="47"/>
      <c r="J1" s="47"/>
      <c r="K1" s="47"/>
    </row>
    <row r="2" spans="1:19">
      <c r="A2" s="9" t="str" cm="1">
        <f t="array" ref="A2:A51">_xlfn.UNIQUE(cust[Customer_Name])</f>
        <v>Paul Baker</v>
      </c>
      <c r="B2" s="9" t="str" cm="1">
        <f t="array" ref="B2:B11">_xlfn.UNIQUE(DATASET!F2:F251)</f>
        <v>Monitor</v>
      </c>
      <c r="C2" s="9" t="str" cm="1">
        <f t="array" ref="C2:C4">_xlfn.UNIQUE(DATASET!G2:G251)</f>
        <v>Electronics</v>
      </c>
      <c r="D2" s="9" t="str" cm="1">
        <f t="array" ref="D2:D6">_xlfn.UNIQUE(cust[Region])</f>
        <v>Central</v>
      </c>
      <c r="F2" s="9" t="str" cm="1">
        <f t="array" ref="F2:S27">_xlfn._xlws.FILTER(cust[],(cust[Product_Name]="Monitor")*(cust[Category]="Electronics"),"no record")</f>
        <v>TRX0155</v>
      </c>
      <c r="G2" s="23">
        <v>45393</v>
      </c>
      <c r="H2" s="9" t="str">
        <v>CUST023</v>
      </c>
      <c r="I2" s="9" t="str">
        <v>Paul Baker</v>
      </c>
      <c r="J2" s="9" t="str">
        <v>P009</v>
      </c>
      <c r="K2" s="9" t="str">
        <v>Monitor</v>
      </c>
      <c r="L2" s="9" t="str">
        <v>Electronics</v>
      </c>
      <c r="M2" s="9">
        <v>3</v>
      </c>
      <c r="N2" s="9">
        <v>249.99</v>
      </c>
      <c r="O2" s="9" t="str">
        <v>Cash</v>
      </c>
      <c r="P2" s="9" t="str">
        <v>Central</v>
      </c>
      <c r="Q2" s="9" t="str">
        <v>Basic</v>
      </c>
      <c r="R2" s="23">
        <v>44425</v>
      </c>
      <c r="S2" s="9">
        <v>749.97</v>
      </c>
    </row>
    <row r="3" spans="1:19">
      <c r="A3" s="9" t="str">
        <v>Joseph Jackson</v>
      </c>
      <c r="B3" s="9" t="str">
        <v>Blender</v>
      </c>
      <c r="C3" s="9" t="str">
        <v>Appliances</v>
      </c>
      <c r="D3" s="9" t="str">
        <v>South</v>
      </c>
      <c r="F3" s="9" t="str">
        <v>TRX0023</v>
      </c>
      <c r="G3" s="23">
        <v>45396</v>
      </c>
      <c r="H3" s="9" t="str">
        <v>CUST013</v>
      </c>
      <c r="I3" s="9" t="str">
        <v>Joseph Jackson</v>
      </c>
      <c r="J3" s="9" t="str">
        <v>P009</v>
      </c>
      <c r="K3" s="9" t="str">
        <v>Monitor</v>
      </c>
      <c r="L3" s="9" t="str">
        <v>Electronics</v>
      </c>
      <c r="M3" s="9">
        <v>3</v>
      </c>
      <c r="N3" s="9">
        <v>249.99</v>
      </c>
      <c r="O3" s="9" t="str">
        <v>Credit Card</v>
      </c>
      <c r="P3" s="9" t="str">
        <v>Central</v>
      </c>
      <c r="Q3" s="9" t="str">
        <v>Premium</v>
      </c>
      <c r="R3" s="23">
        <v>44575</v>
      </c>
      <c r="S3" s="9">
        <v>749.97</v>
      </c>
    </row>
    <row r="4" spans="1:19">
      <c r="A4" s="9" t="str">
        <v>Kevin Scott</v>
      </c>
      <c r="B4" s="9" t="str">
        <v>Bookshelf</v>
      </c>
      <c r="C4" s="9" t="str">
        <v>Furniture</v>
      </c>
      <c r="D4" s="9" t="str">
        <v>North</v>
      </c>
      <c r="F4" s="9" t="str">
        <v>TRX0222</v>
      </c>
      <c r="G4" s="23">
        <v>45410</v>
      </c>
      <c r="H4" s="9" t="str">
        <v>CUST048</v>
      </c>
      <c r="I4" s="9" t="str">
        <v>Virginia Sanders</v>
      </c>
      <c r="J4" s="9" t="str">
        <v>P009</v>
      </c>
      <c r="K4" s="9" t="str">
        <v>Monitor</v>
      </c>
      <c r="L4" s="9" t="str">
        <v>Electronics</v>
      </c>
      <c r="M4" s="9">
        <v>3</v>
      </c>
      <c r="N4" s="9">
        <v>249.99</v>
      </c>
      <c r="O4" s="9" t="str">
        <v>Credit Card</v>
      </c>
      <c r="P4" s="9" t="str">
        <v>North</v>
      </c>
      <c r="Q4" s="9" t="str">
        <v>Premium</v>
      </c>
      <c r="R4" s="23">
        <v>45224</v>
      </c>
      <c r="S4" s="9">
        <v>749.97</v>
      </c>
    </row>
    <row r="5" spans="1:19">
      <c r="A5" s="9" t="str">
        <v>Kathleen Bennett</v>
      </c>
      <c r="B5" s="9" t="str">
        <v>Headphones</v>
      </c>
      <c r="D5" s="9" t="str">
        <v>West</v>
      </c>
      <c r="F5" s="9" t="str">
        <v>TRX0204</v>
      </c>
      <c r="G5" s="23">
        <v>45415</v>
      </c>
      <c r="H5" s="9" t="str">
        <v>CUST044</v>
      </c>
      <c r="I5" s="9" t="str">
        <v>Cynthia Price</v>
      </c>
      <c r="J5" s="9" t="str">
        <v>P009</v>
      </c>
      <c r="K5" s="9" t="str">
        <v>Monitor</v>
      </c>
      <c r="L5" s="9" t="str">
        <v>Electronics</v>
      </c>
      <c r="M5" s="9">
        <v>4</v>
      </c>
      <c r="N5" s="9">
        <v>249.99</v>
      </c>
      <c r="O5" s="9" t="str">
        <v>PayPal</v>
      </c>
      <c r="P5" s="9" t="str">
        <v>North</v>
      </c>
      <c r="Q5" s="9" t="str">
        <v>Standard</v>
      </c>
      <c r="R5" s="23">
        <v>44468</v>
      </c>
      <c r="S5" s="9">
        <v>999.96</v>
      </c>
    </row>
    <row r="6" spans="1:19">
      <c r="A6" s="9" t="str">
        <v>Michael Brown</v>
      </c>
      <c r="B6" s="9" t="str">
        <v>Laptop</v>
      </c>
      <c r="D6" s="9" t="str">
        <v>East</v>
      </c>
      <c r="F6" s="9" t="str">
        <v>TRX0071</v>
      </c>
      <c r="G6" s="23">
        <v>45422</v>
      </c>
      <c r="H6" s="9" t="str">
        <v>CUST036</v>
      </c>
      <c r="I6" s="9" t="str">
        <v>Nancy Collins</v>
      </c>
      <c r="J6" s="9" t="str">
        <v>P009</v>
      </c>
      <c r="K6" s="9" t="str">
        <v>Monitor</v>
      </c>
      <c r="L6" s="9" t="str">
        <v>Electronics</v>
      </c>
      <c r="M6" s="9">
        <v>5</v>
      </c>
      <c r="N6" s="9">
        <v>249.99</v>
      </c>
      <c r="O6" s="9" t="str">
        <v>Credit Card</v>
      </c>
      <c r="P6" s="9" t="str">
        <v>West</v>
      </c>
      <c r="Q6" s="9" t="str">
        <v>Standard</v>
      </c>
      <c r="R6" s="23">
        <v>44525</v>
      </c>
      <c r="S6" s="9">
        <v>1249.95</v>
      </c>
    </row>
    <row r="7" spans="1:19">
      <c r="A7" s="9" t="str">
        <v>Dorothy Nelson</v>
      </c>
      <c r="B7" s="9" t="str">
        <v>Smartphone</v>
      </c>
      <c r="F7" s="9" t="str">
        <v>TRX0234</v>
      </c>
      <c r="G7" s="23">
        <v>45449</v>
      </c>
      <c r="H7" s="9" t="str">
        <v>CUST013</v>
      </c>
      <c r="I7" s="9" t="str">
        <v>Joseph Jackson</v>
      </c>
      <c r="J7" s="9" t="str">
        <v>P009</v>
      </c>
      <c r="K7" s="9" t="str">
        <v>Monitor</v>
      </c>
      <c r="L7" s="9" t="str">
        <v>Electronics</v>
      </c>
      <c r="M7" s="9">
        <v>5</v>
      </c>
      <c r="N7" s="9">
        <v>249.99</v>
      </c>
      <c r="O7" s="9" t="str">
        <v>Credit Card</v>
      </c>
      <c r="P7" s="9" t="str">
        <v>East</v>
      </c>
      <c r="Q7" s="9" t="str">
        <v>Standard</v>
      </c>
      <c r="R7" s="23">
        <v>44707</v>
      </c>
      <c r="S7" s="9">
        <v>1249.95</v>
      </c>
    </row>
    <row r="8" spans="1:19">
      <c r="A8" s="9" t="str">
        <v>Charles Allen</v>
      </c>
      <c r="B8" s="9" t="str">
        <v>Desk</v>
      </c>
      <c r="F8" s="9" t="str">
        <v>TRX0215</v>
      </c>
      <c r="G8" s="23">
        <v>45498</v>
      </c>
      <c r="H8" s="9" t="str">
        <v>CUST047</v>
      </c>
      <c r="I8" s="9" t="str">
        <v>Gerald Murphy</v>
      </c>
      <c r="J8" s="9" t="str">
        <v>P009</v>
      </c>
      <c r="K8" s="9" t="str">
        <v>Monitor</v>
      </c>
      <c r="L8" s="9" t="str">
        <v>Electronics</v>
      </c>
      <c r="M8" s="9">
        <v>4</v>
      </c>
      <c r="N8" s="9">
        <v>249.99</v>
      </c>
      <c r="O8" s="9" t="str">
        <v>Debit Card</v>
      </c>
      <c r="P8" s="9" t="str">
        <v>Central</v>
      </c>
      <c r="Q8" s="9" t="str">
        <v>Standard</v>
      </c>
      <c r="R8" s="23">
        <v>45127</v>
      </c>
      <c r="S8" s="9">
        <v>999.96</v>
      </c>
    </row>
    <row r="9" spans="1:19">
      <c r="A9" s="9" t="str">
        <v>Robert Thomas</v>
      </c>
      <c r="B9" s="9" t="str">
        <v>Coffee Maker</v>
      </c>
      <c r="F9" s="9" t="str">
        <v>TRX0080</v>
      </c>
      <c r="G9" s="23">
        <v>45500</v>
      </c>
      <c r="H9" s="9" t="str">
        <v>CUST018</v>
      </c>
      <c r="I9" s="9" t="str">
        <v>Barbara Young</v>
      </c>
      <c r="J9" s="9" t="str">
        <v>P009</v>
      </c>
      <c r="K9" s="9" t="str">
        <v>Monitor</v>
      </c>
      <c r="L9" s="9" t="str">
        <v>Electronics</v>
      </c>
      <c r="M9" s="9">
        <v>2</v>
      </c>
      <c r="N9" s="9">
        <v>249.99</v>
      </c>
      <c r="O9" s="9" t="str">
        <v>Cash</v>
      </c>
      <c r="P9" s="9" t="str">
        <v>North</v>
      </c>
      <c r="Q9" s="9" t="str">
        <v>Premium</v>
      </c>
      <c r="R9" s="23">
        <v>45164</v>
      </c>
      <c r="S9" s="9">
        <v>499.98</v>
      </c>
    </row>
    <row r="10" spans="1:19">
      <c r="A10" s="9" t="str">
        <v>Karen Hill</v>
      </c>
      <c r="B10" s="9" t="str">
        <v>Keyboard</v>
      </c>
      <c r="F10" s="9" t="str">
        <v>TRX0075</v>
      </c>
      <c r="G10" s="23">
        <v>45517</v>
      </c>
      <c r="H10" s="9" t="str">
        <v>CUST020</v>
      </c>
      <c r="I10" s="9" t="str">
        <v>Margaret Wright</v>
      </c>
      <c r="J10" s="9" t="str">
        <v>P009</v>
      </c>
      <c r="K10" s="9" t="str">
        <v>Monitor</v>
      </c>
      <c r="L10" s="9" t="str">
        <v>Electronics</v>
      </c>
      <c r="M10" s="9">
        <v>5</v>
      </c>
      <c r="N10" s="9">
        <v>249.99</v>
      </c>
      <c r="O10" s="9" t="str">
        <v>PayPal</v>
      </c>
      <c r="P10" s="9" t="str">
        <v>East</v>
      </c>
      <c r="Q10" s="9" t="str">
        <v>Premium</v>
      </c>
      <c r="R10" s="23">
        <v>44782</v>
      </c>
      <c r="S10" s="9">
        <v>1249.95</v>
      </c>
    </row>
    <row r="11" spans="1:19">
      <c r="A11" s="9" t="str">
        <v>Susan Green</v>
      </c>
      <c r="B11" s="9" t="str">
        <v>Office Chair</v>
      </c>
      <c r="F11" s="9" t="str">
        <v>TRX0098</v>
      </c>
      <c r="G11" s="23">
        <v>45517</v>
      </c>
      <c r="H11" s="9" t="str">
        <v>CUST026</v>
      </c>
      <c r="I11" s="9" t="str">
        <v>Karen Hill</v>
      </c>
      <c r="J11" s="9" t="str">
        <v>P009</v>
      </c>
      <c r="K11" s="9" t="str">
        <v>Monitor</v>
      </c>
      <c r="L11" s="9" t="str">
        <v>Electronics</v>
      </c>
      <c r="M11" s="9">
        <v>3</v>
      </c>
      <c r="N11" s="9">
        <v>249.99</v>
      </c>
      <c r="O11" s="9" t="str">
        <v>PayPal</v>
      </c>
      <c r="P11" s="9" t="str">
        <v>North</v>
      </c>
      <c r="Q11" s="9" t="str">
        <v>Premium</v>
      </c>
      <c r="R11" s="23">
        <v>44465</v>
      </c>
      <c r="S11" s="9">
        <v>749.97</v>
      </c>
    </row>
    <row r="12" spans="1:19">
      <c r="A12" s="9" t="str">
        <v>Peter Richardson</v>
      </c>
      <c r="F12" s="9" t="str">
        <v>TRX0037</v>
      </c>
      <c r="G12" s="23">
        <v>45528</v>
      </c>
      <c r="H12" s="9" t="str">
        <v>CUST035</v>
      </c>
      <c r="I12" s="9" t="str">
        <v>Harry Morgan</v>
      </c>
      <c r="J12" s="9" t="str">
        <v>P009</v>
      </c>
      <c r="K12" s="9" t="str">
        <v>Monitor</v>
      </c>
      <c r="L12" s="9" t="str">
        <v>Electronics</v>
      </c>
      <c r="M12" s="9">
        <v>2</v>
      </c>
      <c r="N12" s="9">
        <v>249.99</v>
      </c>
      <c r="O12" s="9" t="str">
        <v>Cash</v>
      </c>
      <c r="P12" s="9" t="str">
        <v>South</v>
      </c>
      <c r="Q12" s="9" t="str">
        <v>Standard</v>
      </c>
      <c r="R12" s="23">
        <v>44572</v>
      </c>
      <c r="S12" s="9">
        <v>499.98</v>
      </c>
    </row>
    <row r="13" spans="1:19">
      <c r="A13" s="9" t="str">
        <v>Dennis Gray</v>
      </c>
      <c r="F13" s="9" t="str">
        <v>TRX0099</v>
      </c>
      <c r="G13" s="23">
        <v>45537</v>
      </c>
      <c r="H13" s="9" t="str">
        <v>CUST034</v>
      </c>
      <c r="I13" s="9" t="str">
        <v>Carol Evans</v>
      </c>
      <c r="J13" s="9" t="str">
        <v>P009</v>
      </c>
      <c r="K13" s="9" t="str">
        <v>Monitor</v>
      </c>
      <c r="L13" s="9" t="str">
        <v>Electronics</v>
      </c>
      <c r="M13" s="9">
        <v>1</v>
      </c>
      <c r="N13" s="9">
        <v>249.99</v>
      </c>
      <c r="O13" s="9" t="str">
        <v>Credit Card</v>
      </c>
      <c r="P13" s="9" t="str">
        <v>West</v>
      </c>
      <c r="Q13" s="9" t="str">
        <v>Premium</v>
      </c>
      <c r="R13" s="23">
        <v>44685</v>
      </c>
      <c r="S13" s="9">
        <v>249.99</v>
      </c>
    </row>
    <row r="14" spans="1:19">
      <c r="A14" s="9" t="str">
        <v>Michelle Rogers</v>
      </c>
      <c r="F14" s="9" t="str">
        <v>TRX0074</v>
      </c>
      <c r="G14" s="23">
        <v>45537</v>
      </c>
      <c r="H14" s="9" t="str">
        <v>CUST023</v>
      </c>
      <c r="I14" s="9" t="str">
        <v>Paul Baker</v>
      </c>
      <c r="J14" s="9" t="str">
        <v>P009</v>
      </c>
      <c r="K14" s="9" t="str">
        <v>Monitor</v>
      </c>
      <c r="L14" s="9" t="str">
        <v>Electronics</v>
      </c>
      <c r="M14" s="9">
        <v>1</v>
      </c>
      <c r="N14" s="9">
        <v>249.99</v>
      </c>
      <c r="O14" s="9" t="str">
        <v>Debit Card</v>
      </c>
      <c r="P14" s="9" t="str">
        <v>North</v>
      </c>
      <c r="Q14" s="9" t="str">
        <v>Premium</v>
      </c>
      <c r="R14" s="23">
        <v>45332</v>
      </c>
      <c r="S14" s="9">
        <v>249.99</v>
      </c>
    </row>
    <row r="15" spans="1:19">
      <c r="A15" s="9" t="str">
        <v>George Adams</v>
      </c>
      <c r="F15" s="9" t="str">
        <v>TRX0195</v>
      </c>
      <c r="G15" s="23">
        <v>45551</v>
      </c>
      <c r="H15" s="9" t="str">
        <v>CUST026</v>
      </c>
      <c r="I15" s="9" t="str">
        <v>Karen Hill</v>
      </c>
      <c r="J15" s="9" t="str">
        <v>P009</v>
      </c>
      <c r="K15" s="9" t="str">
        <v>Monitor</v>
      </c>
      <c r="L15" s="9" t="str">
        <v>Electronics</v>
      </c>
      <c r="M15" s="9">
        <v>2</v>
      </c>
      <c r="N15" s="9">
        <v>249.99</v>
      </c>
      <c r="O15" s="9" t="str">
        <v>PayPal</v>
      </c>
      <c r="P15" s="9" t="str">
        <v>South</v>
      </c>
      <c r="Q15" s="9" t="str">
        <v>Basic</v>
      </c>
      <c r="R15" s="23">
        <v>44993</v>
      </c>
      <c r="S15" s="9">
        <v>499.98</v>
      </c>
    </row>
    <row r="16" spans="1:19">
      <c r="A16" s="9" t="str">
        <v>Mark Carter</v>
      </c>
      <c r="F16" s="9" t="str">
        <v>TRX0057</v>
      </c>
      <c r="G16" s="23">
        <v>45597</v>
      </c>
      <c r="H16" s="9" t="str">
        <v>CUST023</v>
      </c>
      <c r="I16" s="9" t="str">
        <v>Paul Baker</v>
      </c>
      <c r="J16" s="9" t="str">
        <v>P009</v>
      </c>
      <c r="K16" s="9" t="str">
        <v>Monitor</v>
      </c>
      <c r="L16" s="9" t="str">
        <v>Electronics</v>
      </c>
      <c r="M16" s="9">
        <v>5</v>
      </c>
      <c r="N16" s="9">
        <v>249.99</v>
      </c>
      <c r="O16" s="9" t="str">
        <v>Credit Card</v>
      </c>
      <c r="P16" s="9" t="str">
        <v>South</v>
      </c>
      <c r="Q16" s="9" t="str">
        <v>Standard</v>
      </c>
      <c r="R16" s="23">
        <v>44881</v>
      </c>
      <c r="S16" s="9">
        <v>1249.95</v>
      </c>
    </row>
    <row r="17" spans="1:19">
      <c r="A17" s="9" t="str">
        <v>Maria Garcia</v>
      </c>
      <c r="F17" s="9" t="str">
        <v>TRX0090</v>
      </c>
      <c r="G17" s="23">
        <v>45605</v>
      </c>
      <c r="H17" s="9" t="str">
        <v>CUST020</v>
      </c>
      <c r="I17" s="9" t="str">
        <v>Margaret Wright</v>
      </c>
      <c r="J17" s="9" t="str">
        <v>P009</v>
      </c>
      <c r="K17" s="9" t="str">
        <v>Monitor</v>
      </c>
      <c r="L17" s="9" t="str">
        <v>Electronics</v>
      </c>
      <c r="M17" s="9">
        <v>1</v>
      </c>
      <c r="N17" s="9">
        <v>249.99</v>
      </c>
      <c r="O17" s="9" t="str">
        <v>Credit Card</v>
      </c>
      <c r="P17" s="9" t="str">
        <v>North</v>
      </c>
      <c r="Q17" s="9" t="str">
        <v>Premium</v>
      </c>
      <c r="R17" s="23">
        <v>44828</v>
      </c>
      <c r="S17" s="9">
        <v>249.99</v>
      </c>
    </row>
    <row r="18" spans="1:19">
      <c r="A18" s="9" t="str">
        <v>Virginia Sanders</v>
      </c>
      <c r="F18" s="9" t="str">
        <v>TRX0076</v>
      </c>
      <c r="G18" s="23">
        <v>45607</v>
      </c>
      <c r="H18" s="9" t="str">
        <v>CUST012</v>
      </c>
      <c r="I18" s="9" t="str">
        <v>Patricia Moore</v>
      </c>
      <c r="J18" s="9" t="str">
        <v>P009</v>
      </c>
      <c r="K18" s="9" t="str">
        <v>Monitor</v>
      </c>
      <c r="L18" s="9" t="str">
        <v>Electronics</v>
      </c>
      <c r="M18" s="9">
        <v>4</v>
      </c>
      <c r="N18" s="9">
        <v>249.99</v>
      </c>
      <c r="O18" s="9" t="str">
        <v>Credit Card</v>
      </c>
      <c r="P18" s="9" t="str">
        <v>West</v>
      </c>
      <c r="Q18" s="9" t="str">
        <v>Standard</v>
      </c>
      <c r="R18" s="23">
        <v>44659</v>
      </c>
      <c r="S18" s="9">
        <v>999.96</v>
      </c>
    </row>
    <row r="19" spans="1:19">
      <c r="A19" s="9" t="str">
        <v>Barbara Young</v>
      </c>
      <c r="F19" s="9" t="str">
        <v>TRX0012</v>
      </c>
      <c r="G19" s="23">
        <v>45622</v>
      </c>
      <c r="H19" s="9" t="str">
        <v>CUST045</v>
      </c>
      <c r="I19" s="9" t="str">
        <v>Douglas Watson</v>
      </c>
      <c r="J19" s="9" t="str">
        <v>P009</v>
      </c>
      <c r="K19" s="9" t="str">
        <v>Monitor</v>
      </c>
      <c r="L19" s="9" t="str">
        <v>Electronics</v>
      </c>
      <c r="M19" s="9">
        <v>5</v>
      </c>
      <c r="N19" s="9">
        <v>249.99</v>
      </c>
      <c r="O19" s="9" t="str">
        <v>Credit Card</v>
      </c>
      <c r="P19" s="9" t="str">
        <v>North</v>
      </c>
      <c r="Q19" s="9" t="str">
        <v>Basic</v>
      </c>
      <c r="R19" s="23">
        <v>44873</v>
      </c>
      <c r="S19" s="9">
        <v>1249.95</v>
      </c>
    </row>
    <row r="20" spans="1:19">
      <c r="A20" s="9" t="str">
        <v>Patricia Moore</v>
      </c>
      <c r="F20" s="9" t="str">
        <v>TRX0094</v>
      </c>
      <c r="G20" s="23">
        <v>45627</v>
      </c>
      <c r="H20" s="9" t="str">
        <v>CUST017</v>
      </c>
      <c r="I20" s="9" t="str">
        <v>Charles Allen</v>
      </c>
      <c r="J20" s="9" t="str">
        <v>P009</v>
      </c>
      <c r="K20" s="9" t="str">
        <v>Monitor</v>
      </c>
      <c r="L20" s="9" t="str">
        <v>Electronics</v>
      </c>
      <c r="M20" s="9">
        <v>5</v>
      </c>
      <c r="N20" s="9">
        <v>249.99</v>
      </c>
      <c r="O20" s="9" t="str">
        <v>Cash</v>
      </c>
      <c r="P20" s="9" t="str">
        <v>Central</v>
      </c>
      <c r="Q20" s="9" t="str">
        <v>Premium</v>
      </c>
      <c r="R20" s="23">
        <v>44485</v>
      </c>
      <c r="S20" s="9">
        <v>1249.95</v>
      </c>
    </row>
    <row r="21" spans="1:19">
      <c r="A21" s="9" t="str">
        <v>Cynthia Price</v>
      </c>
      <c r="F21" s="9" t="str">
        <v>TRX0137</v>
      </c>
      <c r="G21" s="23">
        <v>45629</v>
      </c>
      <c r="H21" s="9" t="str">
        <v>CUST011</v>
      </c>
      <c r="I21" s="9" t="str">
        <v>William White</v>
      </c>
      <c r="J21" s="9" t="str">
        <v>P009</v>
      </c>
      <c r="K21" s="9" t="str">
        <v>Monitor</v>
      </c>
      <c r="L21" s="9" t="str">
        <v>Electronics</v>
      </c>
      <c r="M21" s="9">
        <v>4</v>
      </c>
      <c r="N21" s="9">
        <v>249.99</v>
      </c>
      <c r="O21" s="9" t="str">
        <v>PayPal</v>
      </c>
      <c r="P21" s="9" t="str">
        <v>East</v>
      </c>
      <c r="Q21" s="9" t="str">
        <v>Premium</v>
      </c>
      <c r="R21" s="23">
        <v>45098</v>
      </c>
      <c r="S21" s="9">
        <v>999.96</v>
      </c>
    </row>
    <row r="22" spans="1:19">
      <c r="A22" s="9" t="str">
        <v>Nancy Collins</v>
      </c>
      <c r="F22" s="9" t="str">
        <v>TRX0180</v>
      </c>
      <c r="G22" s="23">
        <v>45635</v>
      </c>
      <c r="H22" s="9" t="str">
        <v>CUST036</v>
      </c>
      <c r="I22" s="9" t="str">
        <v>Nancy Collins</v>
      </c>
      <c r="J22" s="9" t="str">
        <v>P009</v>
      </c>
      <c r="K22" s="9" t="str">
        <v>Monitor</v>
      </c>
      <c r="L22" s="9" t="str">
        <v>Electronics</v>
      </c>
      <c r="M22" s="9">
        <v>2</v>
      </c>
      <c r="N22" s="9">
        <v>249.99</v>
      </c>
      <c r="O22" s="9" t="str">
        <v>Credit Card</v>
      </c>
      <c r="P22" s="9" t="str">
        <v>Central</v>
      </c>
      <c r="Q22" s="9" t="str">
        <v>Premium</v>
      </c>
      <c r="R22" s="23">
        <v>44396</v>
      </c>
      <c r="S22" s="9">
        <v>499.98</v>
      </c>
    </row>
    <row r="23" spans="1:19">
      <c r="A23" s="9" t="str">
        <v>Linda Martin</v>
      </c>
      <c r="F23" s="9" t="str">
        <v>TRX0243</v>
      </c>
      <c r="G23" s="23">
        <v>45667</v>
      </c>
      <c r="H23" s="9" t="str">
        <v>CUST048</v>
      </c>
      <c r="I23" s="9" t="str">
        <v>Virginia Sanders</v>
      </c>
      <c r="J23" s="9" t="str">
        <v>P009</v>
      </c>
      <c r="K23" s="9" t="str">
        <v>Monitor</v>
      </c>
      <c r="L23" s="9" t="str">
        <v>Electronics</v>
      </c>
      <c r="M23" s="9">
        <v>5</v>
      </c>
      <c r="N23" s="9">
        <v>249.99</v>
      </c>
      <c r="O23" s="9" t="str">
        <v>Credit Card</v>
      </c>
      <c r="P23" s="9" t="str">
        <v>South</v>
      </c>
      <c r="Q23" s="9" t="str">
        <v>Basic</v>
      </c>
      <c r="R23" s="23">
        <v>45330</v>
      </c>
      <c r="S23" s="9">
        <v>1249.95</v>
      </c>
    </row>
    <row r="24" spans="1:19">
      <c r="A24" s="9" t="str">
        <v>Helen Roberts</v>
      </c>
      <c r="F24" s="9" t="str">
        <v>TRX0087</v>
      </c>
      <c r="G24" s="23">
        <v>45671</v>
      </c>
      <c r="H24" s="9" t="str">
        <v>CUST028</v>
      </c>
      <c r="I24" s="9" t="str">
        <v>Betty Campbell</v>
      </c>
      <c r="J24" s="9" t="str">
        <v>P009</v>
      </c>
      <c r="K24" s="9" t="str">
        <v>Monitor</v>
      </c>
      <c r="L24" s="9" t="str">
        <v>Electronics</v>
      </c>
      <c r="M24" s="9">
        <v>4</v>
      </c>
      <c r="N24" s="9">
        <v>249.99</v>
      </c>
      <c r="O24" s="9" t="str">
        <v>Credit Card</v>
      </c>
      <c r="P24" s="9" t="str">
        <v>North</v>
      </c>
      <c r="Q24" s="9" t="str">
        <v>Premium</v>
      </c>
      <c r="R24" s="23">
        <v>44460</v>
      </c>
      <c r="S24" s="9">
        <v>999.96</v>
      </c>
    </row>
    <row r="25" spans="1:19">
      <c r="A25" s="9" t="str">
        <v>Edward Mitchell</v>
      </c>
      <c r="F25" s="9" t="str">
        <v>TRX0159</v>
      </c>
      <c r="G25" s="23">
        <v>45683</v>
      </c>
      <c r="H25" s="9" t="str">
        <v>CUST024</v>
      </c>
      <c r="I25" s="9" t="str">
        <v>Dorothy Nelson</v>
      </c>
      <c r="J25" s="9" t="str">
        <v>P009</v>
      </c>
      <c r="K25" s="9" t="str">
        <v>Monitor</v>
      </c>
      <c r="L25" s="9" t="str">
        <v>Electronics</v>
      </c>
      <c r="M25" s="9">
        <v>4</v>
      </c>
      <c r="N25" s="9">
        <v>249.99</v>
      </c>
      <c r="O25" s="9" t="str">
        <v>Debit Card</v>
      </c>
      <c r="P25" s="9" t="str">
        <v>Central</v>
      </c>
      <c r="Q25" s="9" t="str">
        <v>Premium</v>
      </c>
      <c r="R25" s="23">
        <v>45217</v>
      </c>
      <c r="S25" s="9">
        <v>999.96</v>
      </c>
    </row>
    <row r="26" spans="1:19">
      <c r="A26" s="9" t="str">
        <v>Lisa Anderson</v>
      </c>
      <c r="F26" s="9" t="str">
        <v>TRX0175</v>
      </c>
      <c r="G26" s="23">
        <v>45723</v>
      </c>
      <c r="H26" s="9" t="str">
        <v>CUST030</v>
      </c>
      <c r="I26" s="9" t="str">
        <v>Helen Roberts</v>
      </c>
      <c r="J26" s="9" t="str">
        <v>P009</v>
      </c>
      <c r="K26" s="9" t="str">
        <v>Monitor</v>
      </c>
      <c r="L26" s="9" t="str">
        <v>Electronics</v>
      </c>
      <c r="M26" s="9">
        <v>5</v>
      </c>
      <c r="N26" s="9">
        <v>249.99</v>
      </c>
      <c r="O26" s="9" t="str">
        <v>Cash</v>
      </c>
      <c r="P26" s="9" t="str">
        <v>East</v>
      </c>
      <c r="Q26" s="9" t="str">
        <v>Standard</v>
      </c>
      <c r="R26" s="23">
        <v>44540</v>
      </c>
      <c r="S26" s="9">
        <v>1249.95</v>
      </c>
    </row>
    <row r="27" spans="1:19">
      <c r="A27" s="9" t="str">
        <v>Emma Wilson</v>
      </c>
      <c r="F27" s="9" t="str">
        <v>TRX0038</v>
      </c>
      <c r="G27" s="23">
        <v>45726</v>
      </c>
      <c r="H27" s="9" t="str">
        <v>CUST035</v>
      </c>
      <c r="I27" s="9" t="str">
        <v>Harry Morgan</v>
      </c>
      <c r="J27" s="9" t="str">
        <v>P009</v>
      </c>
      <c r="K27" s="9" t="str">
        <v>Monitor</v>
      </c>
      <c r="L27" s="9" t="str">
        <v>Electronics</v>
      </c>
      <c r="M27" s="9">
        <v>1</v>
      </c>
      <c r="N27" s="9">
        <v>249.99</v>
      </c>
      <c r="O27" s="9" t="str">
        <v>Cash</v>
      </c>
      <c r="P27" s="9" t="str">
        <v>North</v>
      </c>
      <c r="Q27" s="9" t="str">
        <v>Standard</v>
      </c>
      <c r="R27" s="23">
        <v>45117</v>
      </c>
      <c r="S27" s="9">
        <v>249.99</v>
      </c>
    </row>
    <row r="28" spans="1:19">
      <c r="A28" s="9" t="str">
        <v>Steven Turner</v>
      </c>
    </row>
    <row r="29" spans="1:19">
      <c r="A29" s="9" t="str">
        <v>Jennifer Taylor</v>
      </c>
    </row>
    <row r="30" spans="1:19">
      <c r="A30" s="9" t="str">
        <v>Harry Morgan</v>
      </c>
    </row>
    <row r="31" spans="1:19">
      <c r="A31" s="9" t="str">
        <v>Daniel King</v>
      </c>
    </row>
    <row r="32" spans="1:19" ht="31.2" customHeight="1">
      <c r="A32" s="9" t="str">
        <v>Sharon Butler</v>
      </c>
      <c r="F32" s="48" t="s">
        <v>404</v>
      </c>
      <c r="G32" s="49"/>
      <c r="J32" s="46" t="s">
        <v>408</v>
      </c>
      <c r="K32" s="46"/>
      <c r="L32" s="46"/>
      <c r="M32" s="46"/>
      <c r="P32" s="46" t="s">
        <v>409</v>
      </c>
      <c r="Q32" s="46"/>
      <c r="R32" s="46"/>
      <c r="S32" s="46"/>
    </row>
    <row r="33" spans="1:19">
      <c r="A33" s="9" t="str">
        <v>Sarah Davis</v>
      </c>
      <c r="F33" s="20"/>
      <c r="G33" s="23"/>
      <c r="J33" s="9" t="s">
        <v>18</v>
      </c>
      <c r="K33" s="27">
        <f>SUMIFS(cust[Total_Amount],cust[Customer_Name],J33)</f>
        <v>8309.739999999998</v>
      </c>
      <c r="L33" s="9"/>
      <c r="M33" s="27">
        <f>LARGE(K33:K82,1)</f>
        <v>15659.65</v>
      </c>
      <c r="P33" s="26"/>
      <c r="Q33" s="26"/>
      <c r="R33" s="9" t="str" cm="1">
        <f t="array" ref="R33:S33">_xlfn._xlws.FILTER(P34:Q43, Q34:Q43 = LARGE(Q34:Q43,1), "not found")</f>
        <v>Bookshelf</v>
      </c>
      <c r="S33" s="28">
        <v>35</v>
      </c>
    </row>
    <row r="34" spans="1:19">
      <c r="A34" s="9" t="str">
        <v>Betty Campbell</v>
      </c>
      <c r="F34" s="9" t="str" cm="1">
        <f t="array" ref="F34:F38">_xlfn.UNIQUE(cust[Region])</f>
        <v>Central</v>
      </c>
      <c r="G34" s="24">
        <f>SUMIF(cust[Region],"Central",cust[Total_Amount])</f>
        <v>41288.340000000018</v>
      </c>
      <c r="J34" s="9" t="s">
        <v>27</v>
      </c>
      <c r="K34" s="27">
        <f>SUMIFS(cust[Total_Amount],cust[Customer_Name],J34)</f>
        <v>6949.84</v>
      </c>
      <c r="L34" s="9"/>
      <c r="M34" s="28" t="str">
        <f>INDEX(J33:J82,MATCH(M33,K33:K82,0))</f>
        <v>Mark Carter</v>
      </c>
      <c r="P34" s="9" t="str" cm="1">
        <f t="array" ref="P34:P43">_xlfn.UNIQUE(cust[Product_Name])</f>
        <v>Monitor</v>
      </c>
      <c r="Q34" s="9">
        <f>COUNTIF(cust[Product_Name],P34)</f>
        <v>26</v>
      </c>
      <c r="R34" s="9"/>
      <c r="S34" s="9"/>
    </row>
    <row r="35" spans="1:19">
      <c r="A35" s="9" t="str">
        <v>Julie Foster</v>
      </c>
      <c r="F35" s="9" t="str">
        <v>South</v>
      </c>
      <c r="G35" s="24">
        <f>SUMIF(cust[Region],"South",cust[Total_Amount])</f>
        <v>36398.750000000007</v>
      </c>
      <c r="J35" s="9" t="s">
        <v>32</v>
      </c>
      <c r="K35" s="27">
        <f>SUMIFS(cust[Total_Amount],cust[Customer_Name],J35)</f>
        <v>3259.87</v>
      </c>
      <c r="L35" s="9"/>
      <c r="M35" s="9"/>
      <c r="P35" s="9" t="str">
        <v>Blender</v>
      </c>
      <c r="Q35" s="9">
        <f>COUNTIF(cust[Product_Name],P35)</f>
        <v>29</v>
      </c>
      <c r="R35" s="9"/>
      <c r="S35" s="9"/>
    </row>
    <row r="36" spans="1:19">
      <c r="A36" s="9" t="str">
        <v>Raymond Ross</v>
      </c>
      <c r="F36" s="9" t="str">
        <v>North</v>
      </c>
      <c r="G36" s="24">
        <f>SUMIF(cust[Region],F36,cust[Total_Amount])</f>
        <v>50808.310000000012</v>
      </c>
      <c r="J36" s="9" t="s">
        <v>41</v>
      </c>
      <c r="K36" s="27">
        <f>SUMIFS(cust[Total_Amount],cust[Customer_Name],J36)</f>
        <v>4309.8099999999995</v>
      </c>
      <c r="L36" s="9"/>
      <c r="M36" s="9"/>
      <c r="P36" s="9" t="str">
        <v>Bookshelf</v>
      </c>
      <c r="Q36" s="9">
        <f>COUNTIF(cust[Product_Name],P36)</f>
        <v>35</v>
      </c>
      <c r="R36" s="9"/>
      <c r="S36" s="9"/>
    </row>
    <row r="37" spans="1:19">
      <c r="A37" s="9" t="str">
        <v>David Martinez</v>
      </c>
      <c r="F37" s="9" t="str">
        <v>West</v>
      </c>
      <c r="G37" s="24">
        <f>SUMIF(cust[Region],F37,cust[Total_Amount])</f>
        <v>41408.680000000015</v>
      </c>
      <c r="J37" s="9" t="s">
        <v>45</v>
      </c>
      <c r="K37" s="27">
        <f>SUMIFS(cust[Total_Amount],cust[Customer_Name],J37)</f>
        <v>6169.7400000000007</v>
      </c>
      <c r="L37" s="9"/>
      <c r="M37" s="9"/>
      <c r="P37" s="9" t="str">
        <v>Headphones</v>
      </c>
      <c r="Q37" s="9">
        <f>COUNTIF(cust[Product_Name],P37)</f>
        <v>16</v>
      </c>
      <c r="R37" s="9"/>
      <c r="S37" s="9"/>
    </row>
    <row r="38" spans="1:19">
      <c r="A38" s="9" t="str">
        <v>Margaret Wright</v>
      </c>
      <c r="F38" s="9" t="str">
        <v>East</v>
      </c>
      <c r="G38" s="24">
        <f>SUMIF(cust[Region],F38,cust[Total_Amount])</f>
        <v>59288.389999999992</v>
      </c>
      <c r="J38" s="9" t="s">
        <v>51</v>
      </c>
      <c r="K38" s="27">
        <f>SUMIFS(cust[Total_Amount],cust[Customer_Name],J38)</f>
        <v>8269.7900000000009</v>
      </c>
      <c r="L38" s="9"/>
      <c r="M38" s="9"/>
      <c r="P38" s="9" t="str">
        <v>Laptop</v>
      </c>
      <c r="Q38" s="9">
        <f>COUNTIF(cust[Product_Name],P38)</f>
        <v>24</v>
      </c>
      <c r="R38" s="9"/>
      <c r="S38" s="9"/>
    </row>
    <row r="39" spans="1:19">
      <c r="A39" s="9" t="str">
        <v>Frank Torres</v>
      </c>
      <c r="J39" s="9" t="s">
        <v>58</v>
      </c>
      <c r="K39" s="27">
        <f>SUMIFS(cust[Total_Amount],cust[Customer_Name],J39)</f>
        <v>5089.7300000000005</v>
      </c>
      <c r="L39" s="9"/>
      <c r="M39" s="9"/>
      <c r="P39" s="9" t="str">
        <v>Smartphone</v>
      </c>
      <c r="Q39" s="9">
        <f>COUNTIF(cust[Product_Name],P39)</f>
        <v>31</v>
      </c>
      <c r="R39" s="9"/>
      <c r="S39" s="9"/>
    </row>
    <row r="40" spans="1:19">
      <c r="A40" s="9" t="str">
        <v>Gerald Murphy</v>
      </c>
      <c r="J40" s="9" t="s">
        <v>62</v>
      </c>
      <c r="K40" s="27">
        <f>SUMIFS(cust[Total_Amount],cust[Customer_Name],J40)</f>
        <v>3509.8999999999996</v>
      </c>
      <c r="L40" s="9"/>
      <c r="M40" s="9"/>
      <c r="P40" s="9" t="str">
        <v>Desk</v>
      </c>
      <c r="Q40" s="9">
        <f>COUNTIF(cust[Product_Name],P40)</f>
        <v>26</v>
      </c>
      <c r="R40" s="9"/>
      <c r="S40" s="9"/>
    </row>
    <row r="41" spans="1:19">
      <c r="A41" s="9" t="str">
        <v>Elizabeth Hall</v>
      </c>
      <c r="J41" s="9" t="s">
        <v>68</v>
      </c>
      <c r="K41" s="27">
        <f>SUMIFS(cust[Total_Amount],cust[Customer_Name],J41)</f>
        <v>8009.7699999999995</v>
      </c>
      <c r="L41" s="9"/>
      <c r="M41" s="9"/>
      <c r="P41" s="9" t="str">
        <v>Coffee Maker</v>
      </c>
      <c r="Q41" s="9">
        <f>COUNTIF(cust[Product_Name],P41)</f>
        <v>14</v>
      </c>
      <c r="R41" s="9"/>
      <c r="S41" s="9"/>
    </row>
    <row r="42" spans="1:19">
      <c r="A42" s="9" t="str">
        <v>Lawrence Reed</v>
      </c>
      <c r="J42" s="9" t="s">
        <v>71</v>
      </c>
      <c r="K42" s="27">
        <f>SUMIFS(cust[Total_Amount],cust[Customer_Name],J42)</f>
        <v>1979.89</v>
      </c>
      <c r="L42" s="9"/>
      <c r="M42" s="9"/>
      <c r="P42" s="9" t="str">
        <v>Keyboard</v>
      </c>
      <c r="Q42" s="9">
        <f>COUNTIF(cust[Product_Name],P42)</f>
        <v>34</v>
      </c>
      <c r="R42" s="9"/>
      <c r="S42" s="9"/>
    </row>
    <row r="43" spans="1:19">
      <c r="A43" s="9" t="str">
        <v>Carol Evans</v>
      </c>
      <c r="J43" s="9" t="s">
        <v>75</v>
      </c>
      <c r="K43" s="27">
        <f>SUMIFS(cust[Total_Amount],cust[Customer_Name],J43)</f>
        <v>5949.85</v>
      </c>
      <c r="L43" s="9"/>
      <c r="M43" s="9"/>
      <c r="P43" s="9" t="str">
        <v>Office Chair</v>
      </c>
      <c r="Q43" s="9">
        <f>COUNTIF(cust[Product_Name],P43)</f>
        <v>15</v>
      </c>
      <c r="R43" s="9"/>
      <c r="S43" s="9"/>
    </row>
    <row r="44" spans="1:19" ht="15" customHeight="1">
      <c r="A44" s="9" t="str">
        <v>Sandra Phillips</v>
      </c>
      <c r="J44" s="9" t="s">
        <v>78</v>
      </c>
      <c r="K44" s="27">
        <f>SUMIFS(cust[Total_Amount],cust[Customer_Name],J44)</f>
        <v>479.91999999999996</v>
      </c>
      <c r="L44" s="9"/>
      <c r="M44" s="9"/>
    </row>
    <row r="45" spans="1:19" ht="37.799999999999997" customHeight="1">
      <c r="A45" s="9" t="str">
        <v>Ruth Brooks</v>
      </c>
      <c r="J45" s="9" t="s">
        <v>81</v>
      </c>
      <c r="K45" s="27">
        <f>SUMIFS(cust[Total_Amount],cust[Customer_Name],J45)</f>
        <v>4199.9399999999996</v>
      </c>
      <c r="L45" s="9"/>
      <c r="M45" s="9"/>
    </row>
    <row r="46" spans="1:19">
      <c r="A46" s="9" t="str">
        <v>William White</v>
      </c>
      <c r="J46" s="9" t="s">
        <v>86</v>
      </c>
      <c r="K46" s="27">
        <f>SUMIFS(cust[Total_Amount],cust[Customer_Name],J46)</f>
        <v>3779.93</v>
      </c>
      <c r="L46" s="9"/>
      <c r="M46" s="9"/>
    </row>
    <row r="47" spans="1:19">
      <c r="A47" s="9" t="str">
        <v>Richard Lee</v>
      </c>
      <c r="J47" s="9" t="s">
        <v>89</v>
      </c>
      <c r="K47" s="27">
        <f>SUMIFS(cust[Total_Amount],cust[Customer_Name],J47)</f>
        <v>15659.65</v>
      </c>
      <c r="L47" s="9"/>
      <c r="M47" s="9"/>
    </row>
    <row r="48" spans="1:19">
      <c r="A48" s="9" t="str">
        <v>Douglas Watson</v>
      </c>
      <c r="J48" s="9" t="s">
        <v>92</v>
      </c>
      <c r="K48" s="27">
        <f>SUMIFS(cust[Total_Amount],cust[Customer_Name],J48)</f>
        <v>1909.93</v>
      </c>
      <c r="L48" s="9"/>
      <c r="M48" s="9"/>
    </row>
    <row r="49" spans="1:13">
      <c r="A49" s="9" t="str">
        <v>James Johnson</v>
      </c>
      <c r="J49" s="9" t="s">
        <v>96</v>
      </c>
      <c r="K49" s="27">
        <f>SUMIFS(cust[Total_Amount],cust[Customer_Name],J49)</f>
        <v>4789.7900000000009</v>
      </c>
      <c r="L49" s="9"/>
      <c r="M49" s="9"/>
    </row>
    <row r="50" spans="1:13">
      <c r="A50" s="9" t="str">
        <v>Arthur Edwards</v>
      </c>
      <c r="J50" s="9" t="s">
        <v>99</v>
      </c>
      <c r="K50" s="27">
        <f>SUMIFS(cust[Total_Amount],cust[Customer_Name],J50)</f>
        <v>10649.8</v>
      </c>
      <c r="L50" s="9"/>
      <c r="M50" s="9"/>
    </row>
    <row r="51" spans="1:13">
      <c r="A51" s="9" t="str">
        <v>John Smith</v>
      </c>
      <c r="J51" s="9" t="s">
        <v>102</v>
      </c>
      <c r="K51" s="27">
        <f>SUMIFS(cust[Total_Amount],cust[Customer_Name],J51)</f>
        <v>9799.73</v>
      </c>
      <c r="L51" s="9"/>
      <c r="M51" s="9"/>
    </row>
    <row r="52" spans="1:13">
      <c r="J52" s="9" t="s">
        <v>105</v>
      </c>
      <c r="K52" s="27">
        <f>SUMIFS(cust[Total_Amount],cust[Customer_Name],J52)</f>
        <v>3769.8300000000004</v>
      </c>
      <c r="L52" s="9"/>
      <c r="M52" s="9"/>
    </row>
    <row r="53" spans="1:13">
      <c r="J53" s="9" t="s">
        <v>111</v>
      </c>
      <c r="K53" s="27">
        <f>SUMIFS(cust[Total_Amount],cust[Customer_Name],J53)</f>
        <v>4189.7700000000004</v>
      </c>
      <c r="L53" s="9"/>
      <c r="M53" s="9"/>
    </row>
    <row r="54" spans="1:13">
      <c r="J54" s="9" t="s">
        <v>115</v>
      </c>
      <c r="K54" s="27">
        <f>SUMIFS(cust[Total_Amount],cust[Customer_Name],J54)</f>
        <v>1289.9000000000001</v>
      </c>
      <c r="L54" s="9"/>
      <c r="M54" s="9"/>
    </row>
    <row r="55" spans="1:13">
      <c r="J55" s="9" t="s">
        <v>123</v>
      </c>
      <c r="K55" s="27">
        <f>SUMIFS(cust[Total_Amount],cust[Customer_Name],J55)</f>
        <v>6459.79</v>
      </c>
      <c r="L55" s="9"/>
      <c r="M55" s="9"/>
    </row>
    <row r="56" spans="1:13">
      <c r="J56" s="9" t="s">
        <v>126</v>
      </c>
      <c r="K56" s="27">
        <f>SUMIFS(cust[Total_Amount],cust[Customer_Name],J56)</f>
        <v>11919.769999999999</v>
      </c>
      <c r="L56" s="9"/>
      <c r="M56" s="9"/>
    </row>
    <row r="57" spans="1:13">
      <c r="J57" s="9" t="s">
        <v>132</v>
      </c>
      <c r="K57" s="27">
        <f>SUMIFS(cust[Total_Amount],cust[Customer_Name],J57)</f>
        <v>2039.8000000000002</v>
      </c>
      <c r="L57" s="9"/>
      <c r="M57" s="9"/>
    </row>
    <row r="58" spans="1:13">
      <c r="J58" s="9" t="s">
        <v>135</v>
      </c>
      <c r="K58" s="27">
        <f>SUMIFS(cust[Total_Amount],cust[Customer_Name],J58)</f>
        <v>1229.8800000000001</v>
      </c>
      <c r="L58" s="9"/>
      <c r="M58" s="9"/>
    </row>
    <row r="59" spans="1:13">
      <c r="J59" s="9" t="s">
        <v>141</v>
      </c>
      <c r="K59" s="27">
        <f>SUMIFS(cust[Total_Amount],cust[Customer_Name],J59)</f>
        <v>2649.83</v>
      </c>
      <c r="L59" s="9"/>
      <c r="M59" s="9"/>
    </row>
    <row r="60" spans="1:13">
      <c r="J60" s="9" t="s">
        <v>144</v>
      </c>
      <c r="K60" s="27">
        <f>SUMIFS(cust[Total_Amount],cust[Customer_Name],J60)</f>
        <v>4739.8500000000004</v>
      </c>
      <c r="L60" s="9"/>
      <c r="M60" s="9"/>
    </row>
    <row r="61" spans="1:13">
      <c r="J61" s="9" t="s">
        <v>147</v>
      </c>
      <c r="K61" s="27">
        <f>SUMIFS(cust[Total_Amount],cust[Customer_Name],J61)</f>
        <v>5519.8899999999994</v>
      </c>
      <c r="L61" s="9"/>
      <c r="M61" s="9"/>
    </row>
    <row r="62" spans="1:13">
      <c r="J62" s="9" t="s">
        <v>150</v>
      </c>
      <c r="K62" s="27">
        <f>SUMIFS(cust[Total_Amount],cust[Customer_Name],J62)</f>
        <v>7309.7999999999993</v>
      </c>
      <c r="L62" s="9"/>
      <c r="M62" s="9"/>
    </row>
    <row r="63" spans="1:13" ht="28.8">
      <c r="A63" s="29" t="s">
        <v>436</v>
      </c>
      <c r="B63" s="29" t="s">
        <v>443</v>
      </c>
      <c r="C63" s="25" t="s">
        <v>446</v>
      </c>
      <c r="J63" s="9" t="s">
        <v>153</v>
      </c>
      <c r="K63" s="27">
        <f>SUMIFS(cust[Total_Amount],cust[Customer_Name],J63)</f>
        <v>5619.869999999999</v>
      </c>
      <c r="L63" s="9"/>
      <c r="M63" s="9"/>
    </row>
    <row r="64" spans="1:13">
      <c r="A64" s="30" t="s">
        <v>437</v>
      </c>
      <c r="B64" s="30" t="s">
        <v>439</v>
      </c>
      <c r="C64" s="9" t="str" cm="1">
        <f t="array" ref="C64:C66">_xlfn._xlws.FILTER(A64:A69, ISNUMBER(MATCH(A64:A69, B64:B68, 0)))</f>
        <v>John</v>
      </c>
      <c r="J64" s="9" t="s">
        <v>157</v>
      </c>
      <c r="K64" s="27">
        <f>SUMIFS(cust[Total_Amount],cust[Customer_Name],J64)</f>
        <v>5499.8099999999995</v>
      </c>
      <c r="L64" s="9"/>
      <c r="M64" s="9"/>
    </row>
    <row r="65" spans="1:13">
      <c r="A65" s="30" t="s">
        <v>438</v>
      </c>
      <c r="B65" s="30" t="s">
        <v>437</v>
      </c>
      <c r="C65" s="9" t="str">
        <v>Priya</v>
      </c>
      <c r="J65" s="9" t="s">
        <v>161</v>
      </c>
      <c r="K65" s="27">
        <f>SUMIFS(cust[Total_Amount],cust[Customer_Name],J65)</f>
        <v>5649.84</v>
      </c>
      <c r="L65" s="9"/>
      <c r="M65" s="9"/>
    </row>
    <row r="66" spans="1:13">
      <c r="A66" s="30" t="s">
        <v>439</v>
      </c>
      <c r="B66" s="30" t="s">
        <v>444</v>
      </c>
      <c r="C66" s="9" t="str">
        <v>Kiran</v>
      </c>
      <c r="J66" s="9" t="s">
        <v>165</v>
      </c>
      <c r="K66" s="27">
        <f>SUMIFS(cust[Total_Amount],cust[Customer_Name],J66)</f>
        <v>239.96</v>
      </c>
      <c r="L66" s="9"/>
      <c r="M66" s="9"/>
    </row>
    <row r="67" spans="1:13">
      <c r="A67" s="30" t="s">
        <v>440</v>
      </c>
      <c r="B67" s="30" t="s">
        <v>442</v>
      </c>
      <c r="C67" s="9"/>
      <c r="J67" s="9" t="s">
        <v>174</v>
      </c>
      <c r="K67" s="27">
        <f>SUMIFS(cust[Total_Amount],cust[Customer_Name],J67)</f>
        <v>3669.8500000000004</v>
      </c>
      <c r="L67" s="9"/>
      <c r="M67" s="9"/>
    </row>
    <row r="68" spans="1:13">
      <c r="A68" s="30" t="s">
        <v>441</v>
      </c>
      <c r="B68" s="30" t="s">
        <v>445</v>
      </c>
      <c r="C68" s="9"/>
      <c r="J68" s="9" t="s">
        <v>185</v>
      </c>
      <c r="K68" s="27">
        <f>SUMIFS(cust[Total_Amount],cust[Customer_Name],J68)</f>
        <v>1809.84</v>
      </c>
      <c r="L68" s="9"/>
      <c r="M68" s="9"/>
    </row>
    <row r="69" spans="1:13">
      <c r="A69" s="30" t="s">
        <v>442</v>
      </c>
      <c r="B69" s="9"/>
      <c r="C69" s="9"/>
      <c r="J69" s="9" t="s">
        <v>188</v>
      </c>
      <c r="K69" s="27">
        <f>SUMIFS(cust[Total_Amount],cust[Customer_Name],J69)</f>
        <v>2099.88</v>
      </c>
      <c r="L69" s="9"/>
      <c r="M69" s="9"/>
    </row>
    <row r="70" spans="1:13">
      <c r="J70" s="9" t="s">
        <v>195</v>
      </c>
      <c r="K70" s="27">
        <f>SUMIFS(cust[Total_Amount],cust[Customer_Name],J70)</f>
        <v>1479.91</v>
      </c>
      <c r="L70" s="9"/>
      <c r="M70" s="9"/>
    </row>
    <row r="71" spans="1:13">
      <c r="J71" s="9" t="s">
        <v>199</v>
      </c>
      <c r="K71" s="27">
        <f>SUMIFS(cust[Total_Amount],cust[Customer_Name],J71)</f>
        <v>6379.87</v>
      </c>
      <c r="L71" s="9"/>
      <c r="M71" s="9"/>
    </row>
    <row r="72" spans="1:13">
      <c r="J72" s="9" t="s">
        <v>214</v>
      </c>
      <c r="K72" s="27">
        <f>SUMIFS(cust[Total_Amount],cust[Customer_Name],J72)</f>
        <v>3649.8599999999997</v>
      </c>
      <c r="L72" s="9"/>
      <c r="M72" s="9"/>
    </row>
    <row r="73" spans="1:13">
      <c r="J73" s="9" t="s">
        <v>229</v>
      </c>
      <c r="K73" s="27">
        <f>SUMIFS(cust[Total_Amount],cust[Customer_Name],J73)</f>
        <v>6989.7699999999986</v>
      </c>
      <c r="L73" s="9"/>
      <c r="M73" s="9"/>
    </row>
    <row r="74" spans="1:13">
      <c r="J74" s="9" t="s">
        <v>234</v>
      </c>
      <c r="K74" s="27">
        <f>SUMIFS(cust[Total_Amount],cust[Customer_Name],J74)</f>
        <v>1149.93</v>
      </c>
      <c r="L74" s="9"/>
      <c r="M74" s="9"/>
    </row>
    <row r="75" spans="1:13">
      <c r="J75" s="9" t="s">
        <v>237</v>
      </c>
      <c r="K75" s="27">
        <f>SUMIFS(cust[Total_Amount],cust[Customer_Name],J75)</f>
        <v>6349.83</v>
      </c>
      <c r="L75" s="9"/>
      <c r="M75" s="9"/>
    </row>
    <row r="76" spans="1:13">
      <c r="J76" s="9" t="s">
        <v>249</v>
      </c>
      <c r="K76" s="27">
        <f>SUMIFS(cust[Total_Amount],cust[Customer_Name],J76)</f>
        <v>1749.92</v>
      </c>
      <c r="L76" s="9"/>
      <c r="M76" s="9"/>
    </row>
    <row r="77" spans="1:13">
      <c r="J77" s="9" t="s">
        <v>255</v>
      </c>
      <c r="K77" s="27">
        <f>SUMIFS(cust[Total_Amount],cust[Customer_Name],J77)</f>
        <v>4749.91</v>
      </c>
      <c r="L77" s="9"/>
      <c r="M77" s="9"/>
    </row>
    <row r="78" spans="1:13">
      <c r="J78" s="9" t="s">
        <v>262</v>
      </c>
      <c r="K78" s="27">
        <f>SUMIFS(cust[Total_Amount],cust[Customer_Name],J78)</f>
        <v>739.93000000000006</v>
      </c>
      <c r="L78" s="9"/>
      <c r="M78" s="9"/>
    </row>
    <row r="79" spans="1:13">
      <c r="J79" s="9" t="s">
        <v>296</v>
      </c>
      <c r="K79" s="27">
        <f>SUMIFS(cust[Total_Amount],cust[Customer_Name],J79)</f>
        <v>4829.8899999999994</v>
      </c>
      <c r="L79" s="9"/>
      <c r="M79" s="9"/>
    </row>
    <row r="80" spans="1:13">
      <c r="J80" s="9" t="s">
        <v>307</v>
      </c>
      <c r="K80" s="27">
        <f>SUMIFS(cust[Total_Amount],cust[Customer_Name],J80)</f>
        <v>179.97</v>
      </c>
      <c r="L80" s="9"/>
      <c r="M80" s="9"/>
    </row>
    <row r="81" spans="10:13">
      <c r="J81" s="9" t="s">
        <v>328</v>
      </c>
      <c r="K81" s="27">
        <f>SUMIFS(cust[Total_Amount],cust[Customer_Name],J81)</f>
        <v>1559.94</v>
      </c>
      <c r="L81" s="9"/>
      <c r="M81" s="9"/>
    </row>
    <row r="82" spans="10:13">
      <c r="J82" s="9" t="s">
        <v>389</v>
      </c>
      <c r="K82" s="27">
        <f>SUMIFS(cust[Total_Amount],cust[Customer_Name],J82)</f>
        <v>599.96</v>
      </c>
      <c r="L82" s="9"/>
      <c r="M82" s="9"/>
    </row>
    <row r="100" spans="5:6" ht="35.4" customHeight="1">
      <c r="E100" s="11"/>
      <c r="F100" s="11"/>
    </row>
  </sheetData>
  <mergeCells count="4">
    <mergeCell ref="P32:S32"/>
    <mergeCell ref="J32:M32"/>
    <mergeCell ref="G1:K1"/>
    <mergeCell ref="F32:G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0C8B-7D7D-4C29-9164-3FBC32F0C3BD}">
  <sheetPr>
    <outlinePr summaryBelow="0"/>
  </sheetPr>
  <dimension ref="B1:G11"/>
  <sheetViews>
    <sheetView showGridLines="0" workbookViewId="0"/>
  </sheetViews>
  <sheetFormatPr defaultRowHeight="14.4" outlineLevelRow="1" outlineLevelCol="1"/>
  <cols>
    <col min="3" max="3" width="6.21875" bestFit="1" customWidth="1"/>
    <col min="4" max="7" width="14.44140625" bestFit="1" customWidth="1" outlineLevel="1"/>
  </cols>
  <sheetData>
    <row r="1" spans="2:7" ht="15" thickBot="1"/>
    <row r="2" spans="2:7" ht="15.6">
      <c r="B2" s="33" t="s">
        <v>454</v>
      </c>
      <c r="C2" s="33"/>
      <c r="D2" s="38"/>
      <c r="E2" s="38"/>
      <c r="F2" s="38"/>
      <c r="G2" s="38"/>
    </row>
    <row r="3" spans="2:7" ht="15.6" collapsed="1">
      <c r="B3" s="32"/>
      <c r="C3" s="32"/>
      <c r="D3" s="39" t="s">
        <v>456</v>
      </c>
      <c r="E3" s="39" t="s">
        <v>449</v>
      </c>
      <c r="F3" s="39" t="s">
        <v>451</v>
      </c>
      <c r="G3" s="39" t="s">
        <v>453</v>
      </c>
    </row>
    <row r="4" spans="2:7" ht="61.2" hidden="1" outlineLevel="1">
      <c r="B4" s="35"/>
      <c r="C4" s="35"/>
      <c r="E4" s="41" t="s">
        <v>450</v>
      </c>
      <c r="F4" s="41" t="s">
        <v>452</v>
      </c>
      <c r="G4" s="41" t="s">
        <v>450</v>
      </c>
    </row>
    <row r="5" spans="2:7">
      <c r="B5" s="36" t="s">
        <v>455</v>
      </c>
      <c r="C5" s="36"/>
      <c r="D5" s="34"/>
      <c r="E5" s="34"/>
      <c r="F5" s="34"/>
      <c r="G5" s="34"/>
    </row>
    <row r="6" spans="2:7" outlineLevel="1">
      <c r="B6" s="35"/>
      <c r="C6" s="35" t="s">
        <v>447</v>
      </c>
      <c r="D6">
        <v>25</v>
      </c>
      <c r="E6" s="40">
        <v>10</v>
      </c>
      <c r="F6" s="40">
        <v>25</v>
      </c>
      <c r="G6" s="40">
        <v>15</v>
      </c>
    </row>
    <row r="7" spans="2:7">
      <c r="B7" s="36" t="s">
        <v>457</v>
      </c>
      <c r="C7" s="36"/>
      <c r="D7" s="34"/>
      <c r="E7" s="34"/>
      <c r="F7" s="34"/>
      <c r="G7" s="34"/>
    </row>
    <row r="8" spans="2:7" ht="15" outlineLevel="1" thickBot="1">
      <c r="B8" s="37"/>
      <c r="C8" s="37" t="s">
        <v>448</v>
      </c>
      <c r="D8" s="31"/>
      <c r="E8" s="31"/>
      <c r="F8" s="31"/>
      <c r="G8" s="31"/>
    </row>
    <row r="9" spans="2:7">
      <c r="B9" t="s">
        <v>458</v>
      </c>
    </row>
    <row r="10" spans="2:7">
      <c r="B10" t="s">
        <v>459</v>
      </c>
    </row>
    <row r="11" spans="2:7">
      <c r="B11" t="s">
        <v>460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2CE6-B375-436C-B4FF-B67C28BC556D}">
  <dimension ref="A2:L12"/>
  <sheetViews>
    <sheetView zoomScaleNormal="100" workbookViewId="0">
      <selection activeCell="A3" sqref="A3:B3"/>
    </sheetView>
  </sheetViews>
  <sheetFormatPr defaultRowHeight="14.4"/>
  <cols>
    <col min="1" max="1" width="25.109375" bestFit="1" customWidth="1"/>
  </cols>
  <sheetData>
    <row r="2" spans="1:12">
      <c r="A2" s="16"/>
    </row>
    <row r="3" spans="1:12" ht="33.6" customHeight="1">
      <c r="A3" s="50" t="s">
        <v>432</v>
      </c>
      <c r="B3" s="50"/>
      <c r="F3" s="9"/>
      <c r="G3" s="50" t="s">
        <v>433</v>
      </c>
      <c r="H3" s="50"/>
      <c r="I3" s="50"/>
      <c r="J3" s="50"/>
      <c r="K3" s="50"/>
      <c r="L3" s="50"/>
    </row>
    <row r="4" spans="1:12" ht="15.6" customHeight="1">
      <c r="A4" s="9" t="s">
        <v>9</v>
      </c>
      <c r="B4" s="9">
        <v>25</v>
      </c>
      <c r="F4" s="54" t="s">
        <v>435</v>
      </c>
      <c r="G4" s="51" t="s">
        <v>434</v>
      </c>
      <c r="H4" s="52"/>
      <c r="I4" s="52"/>
      <c r="J4" s="52"/>
      <c r="K4" s="52"/>
      <c r="L4" s="53"/>
    </row>
    <row r="5" spans="1:12">
      <c r="A5" s="9" t="s">
        <v>405</v>
      </c>
      <c r="B5" s="9">
        <v>25</v>
      </c>
      <c r="F5" s="55"/>
      <c r="G5" s="9">
        <f>B12</f>
        <v>100</v>
      </c>
      <c r="H5" s="9">
        <v>10</v>
      </c>
      <c r="I5" s="9">
        <v>50</v>
      </c>
      <c r="J5" s="9">
        <v>100</v>
      </c>
      <c r="K5" s="9">
        <v>200</v>
      </c>
      <c r="L5" s="9">
        <v>500</v>
      </c>
    </row>
    <row r="6" spans="1:12" ht="14.4" customHeight="1">
      <c r="A6" s="9" t="s">
        <v>406</v>
      </c>
      <c r="B6" s="9">
        <f>B4*B5</f>
        <v>625</v>
      </c>
      <c r="F6" s="55"/>
      <c r="G6" s="9">
        <v>5</v>
      </c>
      <c r="H6" s="9">
        <f t="dataTable" ref="H6:L10" dt2D="1" dtr="1" r1="B11" r2="B10"/>
        <v>50</v>
      </c>
      <c r="I6" s="9">
        <v>250</v>
      </c>
      <c r="J6" s="9">
        <v>500</v>
      </c>
      <c r="K6" s="9">
        <v>1000</v>
      </c>
      <c r="L6" s="9">
        <v>2500</v>
      </c>
    </row>
    <row r="7" spans="1:12">
      <c r="F7" s="55"/>
      <c r="G7" s="9">
        <v>10</v>
      </c>
      <c r="H7" s="9">
        <v>100</v>
      </c>
      <c r="I7" s="9">
        <v>500</v>
      </c>
      <c r="J7" s="9">
        <v>1000</v>
      </c>
      <c r="K7" s="9">
        <v>2000</v>
      </c>
      <c r="L7" s="9">
        <v>5000</v>
      </c>
    </row>
    <row r="8" spans="1:12">
      <c r="F8" s="55"/>
      <c r="G8" s="9">
        <v>20</v>
      </c>
      <c r="H8" s="9">
        <v>200</v>
      </c>
      <c r="I8" s="9">
        <v>1000</v>
      </c>
      <c r="J8" s="9">
        <v>2000</v>
      </c>
      <c r="K8" s="9">
        <v>4000</v>
      </c>
      <c r="L8" s="9">
        <v>10000</v>
      </c>
    </row>
    <row r="9" spans="1:12" ht="31.2" customHeight="1">
      <c r="A9" s="50" t="s">
        <v>431</v>
      </c>
      <c r="B9" s="50"/>
      <c r="F9" s="55"/>
      <c r="G9" s="9">
        <v>50</v>
      </c>
      <c r="H9" s="9">
        <v>500</v>
      </c>
      <c r="I9" s="9">
        <v>2500</v>
      </c>
      <c r="J9" s="9">
        <v>5000</v>
      </c>
      <c r="K9" s="9">
        <v>10000</v>
      </c>
      <c r="L9" s="9">
        <v>25000</v>
      </c>
    </row>
    <row r="10" spans="1:12">
      <c r="A10" s="10" t="s">
        <v>9</v>
      </c>
      <c r="B10" s="9">
        <v>5</v>
      </c>
      <c r="F10" s="56"/>
      <c r="G10" s="9">
        <v>100</v>
      </c>
      <c r="H10" s="9">
        <v>1000</v>
      </c>
      <c r="I10" s="9">
        <v>5000</v>
      </c>
      <c r="J10" s="9">
        <v>10000</v>
      </c>
      <c r="K10" s="9">
        <v>20000</v>
      </c>
      <c r="L10" s="9">
        <v>50000</v>
      </c>
    </row>
    <row r="11" spans="1:12">
      <c r="A11" s="10" t="s">
        <v>405</v>
      </c>
      <c r="B11" s="9">
        <v>20</v>
      </c>
    </row>
    <row r="12" spans="1:12">
      <c r="A12" s="10" t="s">
        <v>407</v>
      </c>
      <c r="B12" s="9">
        <f>$B$10*$B$11</f>
        <v>100</v>
      </c>
    </row>
  </sheetData>
  <scenarios current="1" show="1" sqref="A26">
    <scenario name="low demand" locked="1" count="1" user="Ayush Isamaliya" comment="Created by Ayush Isamaliya on 24-11-2025">
      <inputCells r="B4" val="10"/>
    </scenario>
    <scenario name="High Demand" locked="1" count="1" user="Ayush Isamaliya" comment="Created by Ayush Isamaliya on 24-11-2025_x000a_Modified by Ayush Isamaliya on 24-11-2025">
      <inputCells r="B4" val="25"/>
    </scenario>
    <scenario name="medium Demand" locked="1" count="1" user="Ayush Isamaliya" comment="Created by Ayush Isamaliya on 24-11-2025">
      <inputCells r="B4" val="15"/>
    </scenario>
  </scenarios>
  <mergeCells count="5">
    <mergeCell ref="A9:B9"/>
    <mergeCell ref="A3:B3"/>
    <mergeCell ref="G3:L3"/>
    <mergeCell ref="G4:L4"/>
    <mergeCell ref="F4:F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906D-6E24-4A1C-B27D-C235F911960E}">
  <dimension ref="A1:S253"/>
  <sheetViews>
    <sheetView topLeftCell="J1" workbookViewId="0">
      <selection activeCell="T6" sqref="T6"/>
    </sheetView>
  </sheetViews>
  <sheetFormatPr defaultRowHeight="14.4"/>
  <cols>
    <col min="1" max="1" width="15.44140625" customWidth="1"/>
    <col min="2" max="2" width="10.33203125" style="7" bestFit="1"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9.109375" customWidth="1"/>
    <col min="12" max="12" width="19.44140625" customWidth="1"/>
    <col min="13" max="13" width="16.44140625" style="7" customWidth="1"/>
    <col min="14" max="14" width="15" customWidth="1"/>
    <col min="18" max="18" width="12.109375" style="7" bestFit="1" customWidth="1"/>
  </cols>
  <sheetData>
    <row r="1" spans="1:19">
      <c r="A1" t="s">
        <v>2</v>
      </c>
      <c r="B1" s="7" t="s">
        <v>3</v>
      </c>
      <c r="C1" t="s">
        <v>4</v>
      </c>
      <c r="D1" t="s">
        <v>5</v>
      </c>
      <c r="E1" t="s">
        <v>6</v>
      </c>
      <c r="F1" t="s">
        <v>7</v>
      </c>
      <c r="G1" t="s">
        <v>8</v>
      </c>
      <c r="H1" t="s">
        <v>9</v>
      </c>
      <c r="I1" t="s">
        <v>10</v>
      </c>
      <c r="J1" t="s">
        <v>11</v>
      </c>
      <c r="K1" t="s">
        <v>12</v>
      </c>
      <c r="L1" t="s">
        <v>13</v>
      </c>
      <c r="M1" s="7" t="s">
        <v>14</v>
      </c>
      <c r="N1" t="s">
        <v>15</v>
      </c>
    </row>
    <row r="2" spans="1:19">
      <c r="A2" t="s">
        <v>16</v>
      </c>
      <c r="B2" s="7">
        <v>45393</v>
      </c>
      <c r="C2" t="s">
        <v>17</v>
      </c>
      <c r="D2" t="s">
        <v>18</v>
      </c>
      <c r="E2" t="s">
        <v>19</v>
      </c>
      <c r="F2" t="s">
        <v>20</v>
      </c>
      <c r="G2" t="s">
        <v>21</v>
      </c>
      <c r="H2">
        <v>3</v>
      </c>
      <c r="I2">
        <v>249.99</v>
      </c>
      <c r="J2" t="s">
        <v>22</v>
      </c>
      <c r="K2" t="s">
        <v>23</v>
      </c>
      <c r="L2" t="s">
        <v>24</v>
      </c>
      <c r="M2" s="7">
        <v>44425</v>
      </c>
      <c r="N2">
        <v>749.97</v>
      </c>
    </row>
    <row r="3" spans="1:19">
      <c r="A3" t="s">
        <v>25</v>
      </c>
      <c r="B3" s="7">
        <v>45396</v>
      </c>
      <c r="C3" t="s">
        <v>26</v>
      </c>
      <c r="D3" t="s">
        <v>27</v>
      </c>
      <c r="E3" t="s">
        <v>19</v>
      </c>
      <c r="F3" t="s">
        <v>20</v>
      </c>
      <c r="G3" t="s">
        <v>21</v>
      </c>
      <c r="H3">
        <v>3</v>
      </c>
      <c r="I3">
        <v>249.99</v>
      </c>
      <c r="J3" t="s">
        <v>28</v>
      </c>
      <c r="K3" t="s">
        <v>23</v>
      </c>
      <c r="L3" t="s">
        <v>29</v>
      </c>
      <c r="M3" s="7">
        <v>44575</v>
      </c>
      <c r="N3">
        <v>749.97</v>
      </c>
      <c r="P3" t="s">
        <v>425</v>
      </c>
      <c r="Q3" t="s">
        <v>426</v>
      </c>
      <c r="R3" s="7" t="s">
        <v>427</v>
      </c>
      <c r="S3" t="s">
        <v>428</v>
      </c>
    </row>
    <row r="4" spans="1:19">
      <c r="A4" t="s">
        <v>30</v>
      </c>
      <c r="B4" s="7">
        <v>45399</v>
      </c>
      <c r="C4" t="s">
        <v>31</v>
      </c>
      <c r="D4" t="s">
        <v>32</v>
      </c>
      <c r="E4" t="s">
        <v>33</v>
      </c>
      <c r="F4" t="s">
        <v>34</v>
      </c>
      <c r="G4" t="s">
        <v>35</v>
      </c>
      <c r="H4">
        <v>3</v>
      </c>
      <c r="I4">
        <v>59.99</v>
      </c>
      <c r="J4" t="s">
        <v>36</v>
      </c>
      <c r="K4" t="s">
        <v>37</v>
      </c>
      <c r="L4" t="s">
        <v>38</v>
      </c>
      <c r="M4" s="7">
        <v>45262</v>
      </c>
      <c r="N4">
        <v>179.97</v>
      </c>
      <c r="P4" cm="1">
        <f t="array" ref="P4:P253">YEAR(tblSales[Date])</f>
        <v>2024</v>
      </c>
      <c r="Q4" t="str" cm="1">
        <f t="array" ref="Q4:Q253">TEXT(tblSales[Date],"mmmm")</f>
        <v>April</v>
      </c>
      <c r="R4" s="7">
        <f>EOMONTH(B2,MONTH(B2))</f>
        <v>45535</v>
      </c>
      <c r="S4" s="8">
        <f>DATEDIF(M2,B2,"d")</f>
        <v>968</v>
      </c>
    </row>
    <row r="5" spans="1:19">
      <c r="A5" t="s">
        <v>39</v>
      </c>
      <c r="B5" s="7">
        <v>45400</v>
      </c>
      <c r="C5" t="s">
        <v>40</v>
      </c>
      <c r="D5" t="s">
        <v>41</v>
      </c>
      <c r="E5" t="s">
        <v>33</v>
      </c>
      <c r="F5" t="s">
        <v>34</v>
      </c>
      <c r="G5" t="s">
        <v>35</v>
      </c>
      <c r="H5">
        <v>3</v>
      </c>
      <c r="I5">
        <v>59.99</v>
      </c>
      <c r="J5" t="s">
        <v>22</v>
      </c>
      <c r="K5" t="s">
        <v>42</v>
      </c>
      <c r="L5" t="s">
        <v>29</v>
      </c>
      <c r="M5" s="7">
        <v>45114</v>
      </c>
      <c r="N5">
        <v>179.97</v>
      </c>
      <c r="P5">
        <v>2024</v>
      </c>
      <c r="Q5" t="str">
        <v>April</v>
      </c>
      <c r="R5" s="7">
        <f t="shared" ref="R5:R68" si="0">EOMONTH(B3,MONTH(B3))</f>
        <v>45535</v>
      </c>
      <c r="S5" s="8">
        <f t="shared" ref="S5:S68" si="1">DATEDIF(M3,B3,"d")</f>
        <v>821</v>
      </c>
    </row>
    <row r="6" spans="1:19">
      <c r="A6" t="s">
        <v>43</v>
      </c>
      <c r="B6" s="7">
        <v>45400</v>
      </c>
      <c r="C6" t="s">
        <v>44</v>
      </c>
      <c r="D6" t="s">
        <v>45</v>
      </c>
      <c r="E6" t="s">
        <v>46</v>
      </c>
      <c r="F6" t="s">
        <v>47</v>
      </c>
      <c r="G6" t="s">
        <v>48</v>
      </c>
      <c r="H6">
        <v>5</v>
      </c>
      <c r="I6">
        <v>149.99</v>
      </c>
      <c r="J6" t="s">
        <v>28</v>
      </c>
      <c r="K6" t="s">
        <v>42</v>
      </c>
      <c r="L6" t="s">
        <v>29</v>
      </c>
      <c r="M6" s="7">
        <v>45295</v>
      </c>
      <c r="N6">
        <v>749.95</v>
      </c>
      <c r="P6">
        <v>2024</v>
      </c>
      <c r="Q6" t="str">
        <v>April</v>
      </c>
      <c r="R6" s="7">
        <f t="shared" si="0"/>
        <v>45535</v>
      </c>
      <c r="S6" s="8">
        <f t="shared" si="1"/>
        <v>137</v>
      </c>
    </row>
    <row r="7" spans="1:19">
      <c r="A7" t="s">
        <v>49</v>
      </c>
      <c r="B7" s="7">
        <v>45403</v>
      </c>
      <c r="C7" t="s">
        <v>50</v>
      </c>
      <c r="D7" t="s">
        <v>51</v>
      </c>
      <c r="E7" t="s">
        <v>33</v>
      </c>
      <c r="F7" t="s">
        <v>34</v>
      </c>
      <c r="G7" t="s">
        <v>35</v>
      </c>
      <c r="H7">
        <v>2</v>
      </c>
      <c r="I7">
        <v>59.99</v>
      </c>
      <c r="J7" t="s">
        <v>22</v>
      </c>
      <c r="K7" t="s">
        <v>52</v>
      </c>
      <c r="L7" t="s">
        <v>38</v>
      </c>
      <c r="M7" s="7">
        <v>44746</v>
      </c>
      <c r="N7">
        <v>119.98</v>
      </c>
      <c r="P7">
        <v>2024</v>
      </c>
      <c r="Q7" t="str">
        <v>April</v>
      </c>
      <c r="R7" s="7">
        <f t="shared" si="0"/>
        <v>45535</v>
      </c>
      <c r="S7" s="8">
        <f t="shared" si="1"/>
        <v>286</v>
      </c>
    </row>
    <row r="8" spans="1:19">
      <c r="A8" t="s">
        <v>53</v>
      </c>
      <c r="B8" s="7">
        <v>45403</v>
      </c>
      <c r="C8" t="s">
        <v>50</v>
      </c>
      <c r="D8" t="s">
        <v>51</v>
      </c>
      <c r="E8" t="s">
        <v>54</v>
      </c>
      <c r="F8" t="s">
        <v>55</v>
      </c>
      <c r="G8" t="s">
        <v>21</v>
      </c>
      <c r="H8">
        <v>5</v>
      </c>
      <c r="I8">
        <v>149.99</v>
      </c>
      <c r="J8" t="s">
        <v>28</v>
      </c>
      <c r="K8" t="s">
        <v>23</v>
      </c>
      <c r="L8" t="s">
        <v>38</v>
      </c>
      <c r="M8" s="7">
        <v>44418</v>
      </c>
      <c r="N8">
        <v>749.95</v>
      </c>
      <c r="P8">
        <v>2024</v>
      </c>
      <c r="Q8" t="str">
        <v>April</v>
      </c>
      <c r="R8" s="7">
        <f t="shared" si="0"/>
        <v>45535</v>
      </c>
      <c r="S8" s="8">
        <f t="shared" si="1"/>
        <v>105</v>
      </c>
    </row>
    <row r="9" spans="1:19">
      <c r="A9" t="s">
        <v>56</v>
      </c>
      <c r="B9" s="7">
        <v>45403</v>
      </c>
      <c r="C9" t="s">
        <v>57</v>
      </c>
      <c r="D9" t="s">
        <v>58</v>
      </c>
      <c r="E9" t="s">
        <v>33</v>
      </c>
      <c r="F9" t="s">
        <v>34</v>
      </c>
      <c r="G9" t="s">
        <v>35</v>
      </c>
      <c r="H9">
        <v>3</v>
      </c>
      <c r="I9">
        <v>59.99</v>
      </c>
      <c r="J9" t="s">
        <v>59</v>
      </c>
      <c r="K9" t="s">
        <v>37</v>
      </c>
      <c r="L9" t="s">
        <v>24</v>
      </c>
      <c r="M9" s="7">
        <v>45007</v>
      </c>
      <c r="N9">
        <v>179.97</v>
      </c>
      <c r="P9">
        <v>2024</v>
      </c>
      <c r="Q9" t="str">
        <v>April</v>
      </c>
      <c r="R9" s="7">
        <f t="shared" si="0"/>
        <v>45535</v>
      </c>
      <c r="S9" s="8">
        <f t="shared" si="1"/>
        <v>657</v>
      </c>
    </row>
    <row r="10" spans="1:19">
      <c r="A10" t="s">
        <v>60</v>
      </c>
      <c r="B10" s="7">
        <v>45405</v>
      </c>
      <c r="C10" t="s">
        <v>61</v>
      </c>
      <c r="D10" t="s">
        <v>62</v>
      </c>
      <c r="E10" t="s">
        <v>63</v>
      </c>
      <c r="F10" t="s">
        <v>64</v>
      </c>
      <c r="G10" t="s">
        <v>21</v>
      </c>
      <c r="H10">
        <v>3</v>
      </c>
      <c r="I10">
        <v>899.99</v>
      </c>
      <c r="J10" t="s">
        <v>36</v>
      </c>
      <c r="K10" t="s">
        <v>65</v>
      </c>
      <c r="L10" t="s">
        <v>38</v>
      </c>
      <c r="M10" s="7">
        <v>45299</v>
      </c>
      <c r="N10">
        <v>2699.97</v>
      </c>
      <c r="P10">
        <v>2024</v>
      </c>
      <c r="Q10" t="str">
        <v>April</v>
      </c>
      <c r="R10" s="7">
        <f t="shared" si="0"/>
        <v>45535</v>
      </c>
      <c r="S10" s="8">
        <f t="shared" si="1"/>
        <v>985</v>
      </c>
    </row>
    <row r="11" spans="1:19">
      <c r="A11" t="s">
        <v>66</v>
      </c>
      <c r="B11" s="7">
        <v>45408</v>
      </c>
      <c r="C11" t="s">
        <v>67</v>
      </c>
      <c r="D11" t="s">
        <v>68</v>
      </c>
      <c r="E11" t="s">
        <v>33</v>
      </c>
      <c r="F11" t="s">
        <v>34</v>
      </c>
      <c r="G11" t="s">
        <v>35</v>
      </c>
      <c r="H11">
        <v>3</v>
      </c>
      <c r="I11">
        <v>59.99</v>
      </c>
      <c r="J11" t="s">
        <v>22</v>
      </c>
      <c r="K11" t="s">
        <v>52</v>
      </c>
      <c r="L11" t="s">
        <v>29</v>
      </c>
      <c r="M11" s="7">
        <v>45207</v>
      </c>
      <c r="N11">
        <v>179.97</v>
      </c>
      <c r="P11">
        <v>2024</v>
      </c>
      <c r="Q11" t="str">
        <v>April</v>
      </c>
      <c r="R11" s="7">
        <f t="shared" si="0"/>
        <v>45535</v>
      </c>
      <c r="S11" s="8">
        <f t="shared" si="1"/>
        <v>396</v>
      </c>
    </row>
    <row r="12" spans="1:19">
      <c r="A12" t="s">
        <v>69</v>
      </c>
      <c r="B12" s="7">
        <v>45408</v>
      </c>
      <c r="C12" t="s">
        <v>70</v>
      </c>
      <c r="D12" t="s">
        <v>71</v>
      </c>
      <c r="E12" t="s">
        <v>46</v>
      </c>
      <c r="F12" t="s">
        <v>47</v>
      </c>
      <c r="G12" t="s">
        <v>48</v>
      </c>
      <c r="H12">
        <v>1</v>
      </c>
      <c r="I12">
        <v>149.99</v>
      </c>
      <c r="J12" t="s">
        <v>28</v>
      </c>
      <c r="K12" t="s">
        <v>52</v>
      </c>
      <c r="L12" t="s">
        <v>38</v>
      </c>
      <c r="M12" s="7">
        <v>45103</v>
      </c>
      <c r="N12">
        <v>149.99</v>
      </c>
      <c r="P12">
        <v>2024</v>
      </c>
      <c r="Q12" t="str">
        <v>April</v>
      </c>
      <c r="R12" s="7">
        <f t="shared" si="0"/>
        <v>45535</v>
      </c>
      <c r="S12" s="8">
        <f t="shared" si="1"/>
        <v>106</v>
      </c>
    </row>
    <row r="13" spans="1:19">
      <c r="A13" t="s">
        <v>72</v>
      </c>
      <c r="B13" s="7">
        <v>45408</v>
      </c>
      <c r="C13" t="s">
        <v>40</v>
      </c>
      <c r="D13" t="s">
        <v>41</v>
      </c>
      <c r="E13" t="s">
        <v>46</v>
      </c>
      <c r="F13" t="s">
        <v>47</v>
      </c>
      <c r="G13" t="s">
        <v>48</v>
      </c>
      <c r="H13">
        <v>5</v>
      </c>
      <c r="I13">
        <v>149.99</v>
      </c>
      <c r="J13" t="s">
        <v>59</v>
      </c>
      <c r="K13" t="s">
        <v>42</v>
      </c>
      <c r="L13" t="s">
        <v>24</v>
      </c>
      <c r="M13" s="7">
        <v>44830</v>
      </c>
      <c r="N13">
        <v>749.95</v>
      </c>
      <c r="P13">
        <v>2024</v>
      </c>
      <c r="Q13" t="str">
        <v>April</v>
      </c>
      <c r="R13" s="7">
        <f t="shared" si="0"/>
        <v>45535</v>
      </c>
      <c r="S13" s="8">
        <f t="shared" si="1"/>
        <v>201</v>
      </c>
    </row>
    <row r="14" spans="1:19">
      <c r="A14" t="s">
        <v>73</v>
      </c>
      <c r="B14" s="7">
        <v>45408</v>
      </c>
      <c r="C14" t="s">
        <v>74</v>
      </c>
      <c r="D14" t="s">
        <v>75</v>
      </c>
      <c r="E14" t="s">
        <v>46</v>
      </c>
      <c r="F14" t="s">
        <v>47</v>
      </c>
      <c r="G14" t="s">
        <v>48</v>
      </c>
      <c r="H14">
        <v>3</v>
      </c>
      <c r="I14">
        <v>149.99</v>
      </c>
      <c r="J14" t="s">
        <v>22</v>
      </c>
      <c r="K14" t="s">
        <v>42</v>
      </c>
      <c r="L14" t="s">
        <v>29</v>
      </c>
      <c r="M14" s="7">
        <v>44806</v>
      </c>
      <c r="N14">
        <v>449.97</v>
      </c>
      <c r="P14">
        <v>2024</v>
      </c>
      <c r="Q14" t="str">
        <v>April</v>
      </c>
      <c r="R14" s="7">
        <f t="shared" si="0"/>
        <v>45535</v>
      </c>
      <c r="S14" s="8">
        <f t="shared" si="1"/>
        <v>305</v>
      </c>
    </row>
    <row r="15" spans="1:19">
      <c r="A15" t="s">
        <v>76</v>
      </c>
      <c r="B15" s="7">
        <v>45409</v>
      </c>
      <c r="C15" t="s">
        <v>77</v>
      </c>
      <c r="D15" t="s">
        <v>78</v>
      </c>
      <c r="E15" t="s">
        <v>33</v>
      </c>
      <c r="F15" t="s">
        <v>34</v>
      </c>
      <c r="G15" t="s">
        <v>35</v>
      </c>
      <c r="H15">
        <v>3</v>
      </c>
      <c r="I15">
        <v>59.99</v>
      </c>
      <c r="J15" t="s">
        <v>28</v>
      </c>
      <c r="K15" t="s">
        <v>42</v>
      </c>
      <c r="L15" t="s">
        <v>38</v>
      </c>
      <c r="M15" s="7">
        <v>45351</v>
      </c>
      <c r="N15">
        <v>179.97</v>
      </c>
      <c r="P15">
        <v>2024</v>
      </c>
      <c r="Q15" t="str">
        <v>April</v>
      </c>
      <c r="R15" s="7">
        <f t="shared" si="0"/>
        <v>45535</v>
      </c>
      <c r="S15" s="8">
        <f t="shared" si="1"/>
        <v>578</v>
      </c>
    </row>
    <row r="16" spans="1:19">
      <c r="A16" t="s">
        <v>79</v>
      </c>
      <c r="B16" s="7">
        <v>45409</v>
      </c>
      <c r="C16" t="s">
        <v>80</v>
      </c>
      <c r="D16" t="s">
        <v>81</v>
      </c>
      <c r="E16" t="s">
        <v>82</v>
      </c>
      <c r="F16" t="s">
        <v>83</v>
      </c>
      <c r="G16" t="s">
        <v>21</v>
      </c>
      <c r="H16">
        <v>3</v>
      </c>
      <c r="I16">
        <v>699.99</v>
      </c>
      <c r="J16" t="s">
        <v>28</v>
      </c>
      <c r="K16" t="s">
        <v>52</v>
      </c>
      <c r="L16" t="s">
        <v>24</v>
      </c>
      <c r="M16" s="7">
        <v>44577</v>
      </c>
      <c r="N16">
        <v>2099.9699999999998</v>
      </c>
      <c r="P16">
        <v>2024</v>
      </c>
      <c r="Q16" t="str">
        <v>April</v>
      </c>
      <c r="R16" s="7">
        <f t="shared" si="0"/>
        <v>45535</v>
      </c>
      <c r="S16" s="8">
        <f t="shared" si="1"/>
        <v>602</v>
      </c>
    </row>
    <row r="17" spans="1:19">
      <c r="A17" t="s">
        <v>84</v>
      </c>
      <c r="B17" s="7">
        <v>45409</v>
      </c>
      <c r="C17" t="s">
        <v>85</v>
      </c>
      <c r="D17" t="s">
        <v>86</v>
      </c>
      <c r="E17" t="s">
        <v>63</v>
      </c>
      <c r="F17" t="s">
        <v>64</v>
      </c>
      <c r="G17" t="s">
        <v>21</v>
      </c>
      <c r="H17">
        <v>1</v>
      </c>
      <c r="I17">
        <v>899.99</v>
      </c>
      <c r="J17" t="s">
        <v>59</v>
      </c>
      <c r="K17" t="s">
        <v>42</v>
      </c>
      <c r="L17" t="s">
        <v>38</v>
      </c>
      <c r="M17" s="7">
        <v>44920</v>
      </c>
      <c r="N17">
        <v>899.99</v>
      </c>
      <c r="P17">
        <v>2024</v>
      </c>
      <c r="Q17" t="str">
        <v>April</v>
      </c>
      <c r="R17" s="7">
        <f t="shared" si="0"/>
        <v>45535</v>
      </c>
      <c r="S17" s="8">
        <f t="shared" si="1"/>
        <v>58</v>
      </c>
    </row>
    <row r="18" spans="1:19">
      <c r="A18" t="s">
        <v>87</v>
      </c>
      <c r="B18" s="7">
        <v>45410</v>
      </c>
      <c r="C18" t="s">
        <v>88</v>
      </c>
      <c r="D18" t="s">
        <v>89</v>
      </c>
      <c r="E18" t="s">
        <v>46</v>
      </c>
      <c r="F18" t="s">
        <v>47</v>
      </c>
      <c r="G18" t="s">
        <v>48</v>
      </c>
      <c r="H18">
        <v>4</v>
      </c>
      <c r="I18">
        <v>149.99</v>
      </c>
      <c r="J18" t="s">
        <v>59</v>
      </c>
      <c r="K18" t="s">
        <v>42</v>
      </c>
      <c r="L18" t="s">
        <v>29</v>
      </c>
      <c r="M18" s="7">
        <v>45374</v>
      </c>
      <c r="N18">
        <v>599.96</v>
      </c>
      <c r="P18">
        <v>2024</v>
      </c>
      <c r="Q18" t="str">
        <v>April</v>
      </c>
      <c r="R18" s="7">
        <f t="shared" si="0"/>
        <v>45535</v>
      </c>
      <c r="S18" s="8">
        <f t="shared" si="1"/>
        <v>832</v>
      </c>
    </row>
    <row r="19" spans="1:19">
      <c r="A19" t="s">
        <v>90</v>
      </c>
      <c r="B19" s="7">
        <v>45410</v>
      </c>
      <c r="C19" t="s">
        <v>91</v>
      </c>
      <c r="D19" t="s">
        <v>92</v>
      </c>
      <c r="E19" t="s">
        <v>82</v>
      </c>
      <c r="F19" t="s">
        <v>83</v>
      </c>
      <c r="G19" t="s">
        <v>21</v>
      </c>
      <c r="H19">
        <v>2</v>
      </c>
      <c r="I19">
        <v>699.99</v>
      </c>
      <c r="J19" t="s">
        <v>22</v>
      </c>
      <c r="K19" t="s">
        <v>42</v>
      </c>
      <c r="L19" t="s">
        <v>24</v>
      </c>
      <c r="M19" s="7">
        <v>44781</v>
      </c>
      <c r="N19">
        <v>1399.98</v>
      </c>
      <c r="P19">
        <v>2024</v>
      </c>
      <c r="Q19" t="str">
        <v>April</v>
      </c>
      <c r="R19" s="7">
        <f t="shared" si="0"/>
        <v>45535</v>
      </c>
      <c r="S19" s="8">
        <f t="shared" si="1"/>
        <v>489</v>
      </c>
    </row>
    <row r="20" spans="1:19">
      <c r="A20" t="s">
        <v>93</v>
      </c>
      <c r="B20" s="7">
        <v>45410</v>
      </c>
      <c r="C20" t="s">
        <v>88</v>
      </c>
      <c r="D20" t="s">
        <v>89</v>
      </c>
      <c r="E20" t="s">
        <v>63</v>
      </c>
      <c r="F20" t="s">
        <v>64</v>
      </c>
      <c r="G20" t="s">
        <v>21</v>
      </c>
      <c r="H20">
        <v>4</v>
      </c>
      <c r="I20">
        <v>899.99</v>
      </c>
      <c r="J20" t="s">
        <v>28</v>
      </c>
      <c r="K20" t="s">
        <v>52</v>
      </c>
      <c r="L20" t="s">
        <v>38</v>
      </c>
      <c r="M20" s="7">
        <v>45327</v>
      </c>
      <c r="N20">
        <v>3599.96</v>
      </c>
      <c r="P20">
        <v>2024</v>
      </c>
      <c r="Q20" t="str">
        <v>April</v>
      </c>
      <c r="R20" s="7">
        <f t="shared" si="0"/>
        <v>45535</v>
      </c>
      <c r="S20" s="8">
        <f t="shared" si="1"/>
        <v>36</v>
      </c>
    </row>
    <row r="21" spans="1:19">
      <c r="A21" t="s">
        <v>94</v>
      </c>
      <c r="B21" s="7">
        <v>45410</v>
      </c>
      <c r="C21" t="s">
        <v>95</v>
      </c>
      <c r="D21" t="s">
        <v>96</v>
      </c>
      <c r="E21" t="s">
        <v>19</v>
      </c>
      <c r="F21" t="s">
        <v>20</v>
      </c>
      <c r="G21" t="s">
        <v>21</v>
      </c>
      <c r="H21">
        <v>3</v>
      </c>
      <c r="I21">
        <v>249.99</v>
      </c>
      <c r="J21" t="s">
        <v>28</v>
      </c>
      <c r="K21" t="s">
        <v>42</v>
      </c>
      <c r="L21" t="s">
        <v>29</v>
      </c>
      <c r="M21" s="7">
        <v>45224</v>
      </c>
      <c r="N21">
        <v>749.97</v>
      </c>
      <c r="P21">
        <v>2024</v>
      </c>
      <c r="Q21" t="str">
        <v>April</v>
      </c>
      <c r="R21" s="7">
        <f t="shared" si="0"/>
        <v>45535</v>
      </c>
      <c r="S21" s="8">
        <f t="shared" si="1"/>
        <v>629</v>
      </c>
    </row>
    <row r="22" spans="1:19">
      <c r="A22" t="s">
        <v>97</v>
      </c>
      <c r="B22" s="7">
        <v>45412</v>
      </c>
      <c r="C22" t="s">
        <v>98</v>
      </c>
      <c r="D22" t="s">
        <v>99</v>
      </c>
      <c r="E22" t="s">
        <v>82</v>
      </c>
      <c r="F22" t="s">
        <v>83</v>
      </c>
      <c r="G22" t="s">
        <v>21</v>
      </c>
      <c r="H22">
        <v>5</v>
      </c>
      <c r="I22">
        <v>699.99</v>
      </c>
      <c r="J22" t="s">
        <v>22</v>
      </c>
      <c r="K22" t="s">
        <v>52</v>
      </c>
      <c r="L22" t="s">
        <v>24</v>
      </c>
      <c r="M22" s="7">
        <v>45167</v>
      </c>
      <c r="N22">
        <v>3499.95</v>
      </c>
      <c r="P22">
        <v>2024</v>
      </c>
      <c r="Q22" t="str">
        <v>April</v>
      </c>
      <c r="R22" s="7">
        <f t="shared" si="0"/>
        <v>45535</v>
      </c>
      <c r="S22" s="8">
        <f t="shared" si="1"/>
        <v>83</v>
      </c>
    </row>
    <row r="23" spans="1:19">
      <c r="A23" t="s">
        <v>100</v>
      </c>
      <c r="B23" s="7">
        <v>45413</v>
      </c>
      <c r="C23" t="s">
        <v>101</v>
      </c>
      <c r="D23" t="s">
        <v>102</v>
      </c>
      <c r="E23" t="s">
        <v>82</v>
      </c>
      <c r="F23" t="s">
        <v>83</v>
      </c>
      <c r="G23" t="s">
        <v>21</v>
      </c>
      <c r="H23">
        <v>4</v>
      </c>
      <c r="I23">
        <v>699.99</v>
      </c>
      <c r="J23" t="s">
        <v>22</v>
      </c>
      <c r="K23" t="s">
        <v>65</v>
      </c>
      <c r="L23" t="s">
        <v>38</v>
      </c>
      <c r="M23" s="7">
        <v>44409</v>
      </c>
      <c r="N23">
        <v>2799.96</v>
      </c>
      <c r="P23">
        <v>2024</v>
      </c>
      <c r="Q23" t="str">
        <v>April</v>
      </c>
      <c r="R23" s="7">
        <f t="shared" si="0"/>
        <v>45535</v>
      </c>
      <c r="S23" s="8">
        <f t="shared" si="1"/>
        <v>186</v>
      </c>
    </row>
    <row r="24" spans="1:19">
      <c r="A24" t="s">
        <v>103</v>
      </c>
      <c r="B24" s="7">
        <v>45415</v>
      </c>
      <c r="C24" t="s">
        <v>104</v>
      </c>
      <c r="D24" t="s">
        <v>105</v>
      </c>
      <c r="E24" t="s">
        <v>19</v>
      </c>
      <c r="F24" t="s">
        <v>20</v>
      </c>
      <c r="G24" t="s">
        <v>21</v>
      </c>
      <c r="H24">
        <v>4</v>
      </c>
      <c r="I24">
        <v>249.99</v>
      </c>
      <c r="J24" t="s">
        <v>36</v>
      </c>
      <c r="K24" t="s">
        <v>42</v>
      </c>
      <c r="L24" t="s">
        <v>38</v>
      </c>
      <c r="M24" s="7">
        <v>44468</v>
      </c>
      <c r="N24">
        <v>999.96</v>
      </c>
      <c r="P24">
        <v>2024</v>
      </c>
      <c r="Q24" t="str">
        <v>April</v>
      </c>
      <c r="R24" s="7">
        <f t="shared" si="0"/>
        <v>45535</v>
      </c>
      <c r="S24" s="8">
        <f t="shared" si="1"/>
        <v>245</v>
      </c>
    </row>
    <row r="25" spans="1:19">
      <c r="A25" t="s">
        <v>106</v>
      </c>
      <c r="B25" s="7">
        <v>45416</v>
      </c>
      <c r="C25" t="s">
        <v>88</v>
      </c>
      <c r="D25" t="s">
        <v>89</v>
      </c>
      <c r="E25" t="s">
        <v>107</v>
      </c>
      <c r="F25" t="s">
        <v>108</v>
      </c>
      <c r="G25" t="s">
        <v>48</v>
      </c>
      <c r="H25">
        <v>4</v>
      </c>
      <c r="I25">
        <v>299.99</v>
      </c>
      <c r="J25" t="s">
        <v>22</v>
      </c>
      <c r="K25" t="s">
        <v>52</v>
      </c>
      <c r="L25" t="s">
        <v>29</v>
      </c>
      <c r="M25" s="7">
        <v>44716</v>
      </c>
      <c r="N25">
        <v>1199.96</v>
      </c>
      <c r="P25">
        <v>2024</v>
      </c>
      <c r="Q25" t="str">
        <v>May</v>
      </c>
      <c r="R25" s="7">
        <f t="shared" si="0"/>
        <v>45596</v>
      </c>
      <c r="S25" s="8">
        <f t="shared" si="1"/>
        <v>1004</v>
      </c>
    </row>
    <row r="26" spans="1:19">
      <c r="A26" t="s">
        <v>109</v>
      </c>
      <c r="B26" s="7">
        <v>45422</v>
      </c>
      <c r="C26" t="s">
        <v>110</v>
      </c>
      <c r="D26" t="s">
        <v>111</v>
      </c>
      <c r="E26" t="s">
        <v>19</v>
      </c>
      <c r="F26" t="s">
        <v>20</v>
      </c>
      <c r="G26" t="s">
        <v>21</v>
      </c>
      <c r="H26">
        <v>5</v>
      </c>
      <c r="I26">
        <v>249.99</v>
      </c>
      <c r="J26" t="s">
        <v>28</v>
      </c>
      <c r="K26" t="s">
        <v>52</v>
      </c>
      <c r="L26" t="s">
        <v>38</v>
      </c>
      <c r="M26" s="7">
        <v>44525</v>
      </c>
      <c r="N26">
        <v>1249.95</v>
      </c>
      <c r="P26">
        <v>2024</v>
      </c>
      <c r="Q26" t="str">
        <v>May</v>
      </c>
      <c r="R26" s="7">
        <f t="shared" si="0"/>
        <v>45596</v>
      </c>
      <c r="S26" s="8">
        <f t="shared" si="1"/>
        <v>947</v>
      </c>
    </row>
    <row r="27" spans="1:19">
      <c r="A27" t="s">
        <v>112</v>
      </c>
      <c r="B27" s="7">
        <v>45424</v>
      </c>
      <c r="C27" t="s">
        <v>70</v>
      </c>
      <c r="D27" t="s">
        <v>71</v>
      </c>
      <c r="E27" t="s">
        <v>107</v>
      </c>
      <c r="F27" t="s">
        <v>108</v>
      </c>
      <c r="G27" t="s">
        <v>48</v>
      </c>
      <c r="H27">
        <v>5</v>
      </c>
      <c r="I27">
        <v>299.99</v>
      </c>
      <c r="J27" t="s">
        <v>36</v>
      </c>
      <c r="K27" t="s">
        <v>65</v>
      </c>
      <c r="L27" t="s">
        <v>24</v>
      </c>
      <c r="M27" s="7">
        <v>45168</v>
      </c>
      <c r="N27">
        <v>1499.95</v>
      </c>
      <c r="P27">
        <v>2024</v>
      </c>
      <c r="Q27" t="str">
        <v>May</v>
      </c>
      <c r="R27" s="7">
        <f t="shared" si="0"/>
        <v>45596</v>
      </c>
      <c r="S27" s="8">
        <f t="shared" si="1"/>
        <v>700</v>
      </c>
    </row>
    <row r="28" spans="1:19">
      <c r="A28" t="s">
        <v>113</v>
      </c>
      <c r="B28" s="7">
        <v>45424</v>
      </c>
      <c r="C28" t="s">
        <v>114</v>
      </c>
      <c r="D28" t="s">
        <v>115</v>
      </c>
      <c r="E28" t="s">
        <v>116</v>
      </c>
      <c r="F28" t="s">
        <v>117</v>
      </c>
      <c r="G28" t="s">
        <v>35</v>
      </c>
      <c r="H28">
        <v>3</v>
      </c>
      <c r="I28">
        <v>79.989999999999995</v>
      </c>
      <c r="J28" t="s">
        <v>36</v>
      </c>
      <c r="K28" t="s">
        <v>65</v>
      </c>
      <c r="L28" t="s">
        <v>29</v>
      </c>
      <c r="M28" s="7">
        <v>45012</v>
      </c>
      <c r="N28">
        <v>239.97</v>
      </c>
      <c r="P28">
        <v>2024</v>
      </c>
      <c r="Q28" t="str">
        <v>May</v>
      </c>
      <c r="R28" s="7">
        <f t="shared" si="0"/>
        <v>45596</v>
      </c>
      <c r="S28" s="8">
        <f t="shared" si="1"/>
        <v>897</v>
      </c>
    </row>
    <row r="29" spans="1:19">
      <c r="A29" t="s">
        <v>118</v>
      </c>
      <c r="B29" s="7">
        <v>45424</v>
      </c>
      <c r="C29" t="s">
        <v>101</v>
      </c>
      <c r="D29" t="s">
        <v>102</v>
      </c>
      <c r="E29" t="s">
        <v>119</v>
      </c>
      <c r="F29" t="s">
        <v>120</v>
      </c>
      <c r="G29" t="s">
        <v>21</v>
      </c>
      <c r="H29">
        <v>5</v>
      </c>
      <c r="I29">
        <v>89.99</v>
      </c>
      <c r="J29" t="s">
        <v>22</v>
      </c>
      <c r="K29" t="s">
        <v>42</v>
      </c>
      <c r="L29" t="s">
        <v>29</v>
      </c>
      <c r="M29" s="7">
        <v>44919</v>
      </c>
      <c r="N29">
        <v>449.95</v>
      </c>
      <c r="P29">
        <v>2024</v>
      </c>
      <c r="Q29" t="str">
        <v>May</v>
      </c>
      <c r="R29" s="7">
        <f t="shared" si="0"/>
        <v>45596</v>
      </c>
      <c r="S29" s="8">
        <f t="shared" si="1"/>
        <v>256</v>
      </c>
    </row>
    <row r="30" spans="1:19">
      <c r="A30" t="s">
        <v>121</v>
      </c>
      <c r="B30" s="7">
        <v>45425</v>
      </c>
      <c r="C30" t="s">
        <v>122</v>
      </c>
      <c r="D30" t="s">
        <v>123</v>
      </c>
      <c r="E30" t="s">
        <v>33</v>
      </c>
      <c r="F30" t="s">
        <v>34</v>
      </c>
      <c r="G30" t="s">
        <v>35</v>
      </c>
      <c r="H30">
        <v>2</v>
      </c>
      <c r="I30">
        <v>59.99</v>
      </c>
      <c r="J30" t="s">
        <v>59</v>
      </c>
      <c r="K30" t="s">
        <v>23</v>
      </c>
      <c r="L30" t="s">
        <v>38</v>
      </c>
      <c r="M30" s="7">
        <v>45214</v>
      </c>
      <c r="N30">
        <v>119.98</v>
      </c>
      <c r="P30">
        <v>2024</v>
      </c>
      <c r="Q30" t="str">
        <v>May</v>
      </c>
      <c r="R30" s="7">
        <f t="shared" si="0"/>
        <v>45596</v>
      </c>
      <c r="S30" s="8">
        <f t="shared" si="1"/>
        <v>412</v>
      </c>
    </row>
    <row r="31" spans="1:19">
      <c r="A31" t="s">
        <v>124</v>
      </c>
      <c r="B31" s="7">
        <v>45427</v>
      </c>
      <c r="C31" t="s">
        <v>125</v>
      </c>
      <c r="D31" t="s">
        <v>126</v>
      </c>
      <c r="E31" t="s">
        <v>33</v>
      </c>
      <c r="F31" t="s">
        <v>34</v>
      </c>
      <c r="G31" t="s">
        <v>35</v>
      </c>
      <c r="H31">
        <v>4</v>
      </c>
      <c r="I31">
        <v>59.99</v>
      </c>
      <c r="J31" t="s">
        <v>59</v>
      </c>
      <c r="K31" t="s">
        <v>65</v>
      </c>
      <c r="L31" t="s">
        <v>38</v>
      </c>
      <c r="M31" s="7">
        <v>44867</v>
      </c>
      <c r="N31">
        <v>239.96</v>
      </c>
      <c r="P31">
        <v>2024</v>
      </c>
      <c r="Q31" t="str">
        <v>May</v>
      </c>
      <c r="R31" s="7">
        <f t="shared" si="0"/>
        <v>45596</v>
      </c>
      <c r="S31" s="8">
        <f t="shared" si="1"/>
        <v>505</v>
      </c>
    </row>
    <row r="32" spans="1:19">
      <c r="A32" t="s">
        <v>127</v>
      </c>
      <c r="B32" s="7">
        <v>45427</v>
      </c>
      <c r="C32" t="s">
        <v>57</v>
      </c>
      <c r="D32" t="s">
        <v>58</v>
      </c>
      <c r="E32" t="s">
        <v>128</v>
      </c>
      <c r="F32" t="s">
        <v>129</v>
      </c>
      <c r="G32" t="s">
        <v>48</v>
      </c>
      <c r="H32">
        <v>5</v>
      </c>
      <c r="I32">
        <v>199.99</v>
      </c>
      <c r="J32" t="s">
        <v>22</v>
      </c>
      <c r="K32" t="s">
        <v>37</v>
      </c>
      <c r="L32" t="s">
        <v>38</v>
      </c>
      <c r="M32" s="7">
        <v>44412</v>
      </c>
      <c r="N32">
        <v>999.95</v>
      </c>
      <c r="P32">
        <v>2024</v>
      </c>
      <c r="Q32" t="str">
        <v>May</v>
      </c>
      <c r="R32" s="7">
        <f t="shared" si="0"/>
        <v>45596</v>
      </c>
      <c r="S32" s="8">
        <f t="shared" si="1"/>
        <v>211</v>
      </c>
    </row>
    <row r="33" spans="1:19">
      <c r="A33" t="s">
        <v>130</v>
      </c>
      <c r="B33" s="7">
        <v>45428</v>
      </c>
      <c r="C33" t="s">
        <v>131</v>
      </c>
      <c r="D33" t="s">
        <v>132</v>
      </c>
      <c r="E33" t="s">
        <v>46</v>
      </c>
      <c r="F33" t="s">
        <v>47</v>
      </c>
      <c r="G33" t="s">
        <v>48</v>
      </c>
      <c r="H33">
        <v>2</v>
      </c>
      <c r="I33">
        <v>149.99</v>
      </c>
      <c r="J33" t="s">
        <v>28</v>
      </c>
      <c r="K33" t="s">
        <v>52</v>
      </c>
      <c r="L33" t="s">
        <v>24</v>
      </c>
      <c r="M33" s="7">
        <v>44823</v>
      </c>
      <c r="N33">
        <v>299.98</v>
      </c>
      <c r="P33">
        <v>2024</v>
      </c>
      <c r="Q33" t="str">
        <v>May</v>
      </c>
      <c r="R33" s="7">
        <f t="shared" si="0"/>
        <v>45596</v>
      </c>
      <c r="S33" s="8">
        <f t="shared" si="1"/>
        <v>560</v>
      </c>
    </row>
    <row r="34" spans="1:19">
      <c r="A34" t="s">
        <v>133</v>
      </c>
      <c r="B34" s="7">
        <v>45430</v>
      </c>
      <c r="C34" t="s">
        <v>134</v>
      </c>
      <c r="D34" t="s">
        <v>135</v>
      </c>
      <c r="E34" t="s">
        <v>46</v>
      </c>
      <c r="F34" t="s">
        <v>47</v>
      </c>
      <c r="G34" t="s">
        <v>48</v>
      </c>
      <c r="H34">
        <v>3</v>
      </c>
      <c r="I34">
        <v>149.99</v>
      </c>
      <c r="J34" t="s">
        <v>28</v>
      </c>
      <c r="K34" t="s">
        <v>52</v>
      </c>
      <c r="L34" t="s">
        <v>29</v>
      </c>
      <c r="M34" s="7">
        <v>45068</v>
      </c>
      <c r="N34">
        <v>449.97</v>
      </c>
      <c r="P34">
        <v>2024</v>
      </c>
      <c r="Q34" t="str">
        <v>May</v>
      </c>
      <c r="R34" s="7">
        <f t="shared" si="0"/>
        <v>45596</v>
      </c>
      <c r="S34" s="8">
        <f t="shared" si="1"/>
        <v>1015</v>
      </c>
    </row>
    <row r="35" spans="1:19">
      <c r="A35" t="s">
        <v>136</v>
      </c>
      <c r="B35" s="7">
        <v>45432</v>
      </c>
      <c r="C35" t="s">
        <v>31</v>
      </c>
      <c r="D35" t="s">
        <v>32</v>
      </c>
      <c r="E35" t="s">
        <v>63</v>
      </c>
      <c r="F35" t="s">
        <v>64</v>
      </c>
      <c r="G35" t="s">
        <v>21</v>
      </c>
      <c r="H35">
        <v>1</v>
      </c>
      <c r="I35">
        <v>899.99</v>
      </c>
      <c r="J35" t="s">
        <v>28</v>
      </c>
      <c r="K35" t="s">
        <v>52</v>
      </c>
      <c r="L35" t="s">
        <v>29</v>
      </c>
      <c r="M35" s="7">
        <v>44578</v>
      </c>
      <c r="N35">
        <v>899.99</v>
      </c>
      <c r="P35">
        <v>2024</v>
      </c>
      <c r="Q35" t="str">
        <v>May</v>
      </c>
      <c r="R35" s="7">
        <f t="shared" si="0"/>
        <v>45596</v>
      </c>
      <c r="S35" s="8">
        <f t="shared" si="1"/>
        <v>605</v>
      </c>
    </row>
    <row r="36" spans="1:19">
      <c r="A36" t="s">
        <v>137</v>
      </c>
      <c r="B36" s="7">
        <v>45434</v>
      </c>
      <c r="C36" t="s">
        <v>101</v>
      </c>
      <c r="D36" t="s">
        <v>102</v>
      </c>
      <c r="E36" t="s">
        <v>107</v>
      </c>
      <c r="F36" t="s">
        <v>108</v>
      </c>
      <c r="G36" t="s">
        <v>48</v>
      </c>
      <c r="H36">
        <v>3</v>
      </c>
      <c r="I36">
        <v>299.99</v>
      </c>
      <c r="J36" t="s">
        <v>28</v>
      </c>
      <c r="K36" t="s">
        <v>65</v>
      </c>
      <c r="L36" t="s">
        <v>24</v>
      </c>
      <c r="M36" s="7">
        <v>44824</v>
      </c>
      <c r="N36">
        <v>899.97</v>
      </c>
      <c r="P36">
        <v>2024</v>
      </c>
      <c r="Q36" t="str">
        <v>May</v>
      </c>
      <c r="R36" s="7">
        <f t="shared" si="0"/>
        <v>45596</v>
      </c>
      <c r="S36" s="8">
        <f t="shared" si="1"/>
        <v>362</v>
      </c>
    </row>
    <row r="37" spans="1:19">
      <c r="A37" t="s">
        <v>138</v>
      </c>
      <c r="B37" s="7">
        <v>45435</v>
      </c>
      <c r="C37" t="s">
        <v>131</v>
      </c>
      <c r="D37" t="s">
        <v>132</v>
      </c>
      <c r="E37" t="s">
        <v>116</v>
      </c>
      <c r="F37" t="s">
        <v>117</v>
      </c>
      <c r="G37" t="s">
        <v>35</v>
      </c>
      <c r="H37">
        <v>3</v>
      </c>
      <c r="I37">
        <v>79.989999999999995</v>
      </c>
      <c r="J37" t="s">
        <v>22</v>
      </c>
      <c r="K37" t="s">
        <v>37</v>
      </c>
      <c r="L37" t="s">
        <v>24</v>
      </c>
      <c r="M37" s="7">
        <v>45046</v>
      </c>
      <c r="N37">
        <v>239.97</v>
      </c>
      <c r="P37">
        <v>2024</v>
      </c>
      <c r="Q37" t="str">
        <v>May</v>
      </c>
      <c r="R37" s="7">
        <f t="shared" si="0"/>
        <v>45596</v>
      </c>
      <c r="S37" s="8">
        <f t="shared" si="1"/>
        <v>854</v>
      </c>
    </row>
    <row r="38" spans="1:19">
      <c r="A38" t="s">
        <v>139</v>
      </c>
      <c r="B38" s="7">
        <v>45438</v>
      </c>
      <c r="C38" t="s">
        <v>140</v>
      </c>
      <c r="D38" t="s">
        <v>141</v>
      </c>
      <c r="E38" t="s">
        <v>128</v>
      </c>
      <c r="F38" t="s">
        <v>129</v>
      </c>
      <c r="G38" t="s">
        <v>48</v>
      </c>
      <c r="H38">
        <v>3</v>
      </c>
      <c r="I38">
        <v>199.99</v>
      </c>
      <c r="J38" t="s">
        <v>28</v>
      </c>
      <c r="K38" t="s">
        <v>42</v>
      </c>
      <c r="L38" t="s">
        <v>29</v>
      </c>
      <c r="M38" s="7">
        <v>45292</v>
      </c>
      <c r="N38">
        <v>599.97</v>
      </c>
      <c r="P38">
        <v>2024</v>
      </c>
      <c r="Q38" t="str">
        <v>May</v>
      </c>
      <c r="R38" s="7">
        <f t="shared" si="0"/>
        <v>45596</v>
      </c>
      <c r="S38" s="8">
        <f t="shared" si="1"/>
        <v>610</v>
      </c>
    </row>
    <row r="39" spans="1:19">
      <c r="A39" t="s">
        <v>142</v>
      </c>
      <c r="B39" s="7">
        <v>45440</v>
      </c>
      <c r="C39" t="s">
        <v>143</v>
      </c>
      <c r="D39" t="s">
        <v>144</v>
      </c>
      <c r="E39" t="s">
        <v>82</v>
      </c>
      <c r="F39" t="s">
        <v>83</v>
      </c>
      <c r="G39" t="s">
        <v>21</v>
      </c>
      <c r="H39">
        <v>5</v>
      </c>
      <c r="I39">
        <v>699.99</v>
      </c>
      <c r="J39" t="s">
        <v>36</v>
      </c>
      <c r="K39" t="s">
        <v>52</v>
      </c>
      <c r="L39" t="s">
        <v>38</v>
      </c>
      <c r="M39" s="7">
        <v>44407</v>
      </c>
      <c r="N39">
        <v>3499.95</v>
      </c>
      <c r="P39">
        <v>2024</v>
      </c>
      <c r="Q39" t="str">
        <v>May</v>
      </c>
      <c r="R39" s="7">
        <f t="shared" si="0"/>
        <v>45596</v>
      </c>
      <c r="S39" s="8">
        <f t="shared" si="1"/>
        <v>389</v>
      </c>
    </row>
    <row r="40" spans="1:19">
      <c r="A40" t="s">
        <v>145</v>
      </c>
      <c r="B40" s="7">
        <v>45441</v>
      </c>
      <c r="C40" t="s">
        <v>146</v>
      </c>
      <c r="D40" t="s">
        <v>147</v>
      </c>
      <c r="E40" t="s">
        <v>119</v>
      </c>
      <c r="F40" t="s">
        <v>120</v>
      </c>
      <c r="G40" t="s">
        <v>21</v>
      </c>
      <c r="H40">
        <v>3</v>
      </c>
      <c r="I40">
        <v>89.99</v>
      </c>
      <c r="J40" t="s">
        <v>36</v>
      </c>
      <c r="K40" t="s">
        <v>23</v>
      </c>
      <c r="L40" t="s">
        <v>29</v>
      </c>
      <c r="M40" s="7">
        <v>45120</v>
      </c>
      <c r="N40">
        <v>269.97000000000003</v>
      </c>
      <c r="P40">
        <v>2024</v>
      </c>
      <c r="Q40" t="str">
        <v>May</v>
      </c>
      <c r="R40" s="7">
        <f t="shared" si="0"/>
        <v>45596</v>
      </c>
      <c r="S40" s="8">
        <f t="shared" si="1"/>
        <v>146</v>
      </c>
    </row>
    <row r="41" spans="1:19">
      <c r="A41" t="s">
        <v>148</v>
      </c>
      <c r="B41" s="7">
        <v>45443</v>
      </c>
      <c r="C41" t="s">
        <v>149</v>
      </c>
      <c r="D41" t="s">
        <v>150</v>
      </c>
      <c r="E41" t="s">
        <v>116</v>
      </c>
      <c r="F41" t="s">
        <v>117</v>
      </c>
      <c r="G41" t="s">
        <v>35</v>
      </c>
      <c r="H41">
        <v>1</v>
      </c>
      <c r="I41">
        <v>79.989999999999995</v>
      </c>
      <c r="J41" t="s">
        <v>22</v>
      </c>
      <c r="K41" t="s">
        <v>42</v>
      </c>
      <c r="L41" t="s">
        <v>38</v>
      </c>
      <c r="M41" s="7">
        <v>44917</v>
      </c>
      <c r="N41">
        <v>79.989999999999995</v>
      </c>
      <c r="P41">
        <v>2024</v>
      </c>
      <c r="Q41" t="str">
        <v>May</v>
      </c>
      <c r="R41" s="7">
        <f t="shared" si="0"/>
        <v>45596</v>
      </c>
      <c r="S41" s="8">
        <f t="shared" si="1"/>
        <v>1033</v>
      </c>
    </row>
    <row r="42" spans="1:19">
      <c r="A42" t="s">
        <v>151</v>
      </c>
      <c r="B42" s="7">
        <v>45444</v>
      </c>
      <c r="C42" t="s">
        <v>152</v>
      </c>
      <c r="D42" t="s">
        <v>153</v>
      </c>
      <c r="E42" t="s">
        <v>33</v>
      </c>
      <c r="F42" t="s">
        <v>34</v>
      </c>
      <c r="G42" t="s">
        <v>35</v>
      </c>
      <c r="H42">
        <v>2</v>
      </c>
      <c r="I42">
        <v>59.99</v>
      </c>
      <c r="J42" t="s">
        <v>22</v>
      </c>
      <c r="K42" t="s">
        <v>52</v>
      </c>
      <c r="L42" t="s">
        <v>24</v>
      </c>
      <c r="M42" s="7">
        <v>45390</v>
      </c>
      <c r="N42">
        <v>119.98</v>
      </c>
      <c r="P42">
        <v>2024</v>
      </c>
      <c r="Q42" t="str">
        <v>May</v>
      </c>
      <c r="R42" s="7">
        <f t="shared" si="0"/>
        <v>45596</v>
      </c>
      <c r="S42" s="8">
        <f t="shared" si="1"/>
        <v>321</v>
      </c>
    </row>
    <row r="43" spans="1:19">
      <c r="A43" t="s">
        <v>154</v>
      </c>
      <c r="B43" s="7">
        <v>45444</v>
      </c>
      <c r="C43" t="s">
        <v>57</v>
      </c>
      <c r="D43" t="s">
        <v>58</v>
      </c>
      <c r="E43" t="s">
        <v>119</v>
      </c>
      <c r="F43" t="s">
        <v>120</v>
      </c>
      <c r="G43" t="s">
        <v>21</v>
      </c>
      <c r="H43">
        <v>1</v>
      </c>
      <c r="I43">
        <v>89.99</v>
      </c>
      <c r="J43" t="s">
        <v>22</v>
      </c>
      <c r="K43" t="s">
        <v>42</v>
      </c>
      <c r="L43" t="s">
        <v>24</v>
      </c>
      <c r="M43" s="7">
        <v>45141</v>
      </c>
      <c r="N43">
        <v>89.99</v>
      </c>
      <c r="P43">
        <v>2024</v>
      </c>
      <c r="Q43" t="str">
        <v>May</v>
      </c>
      <c r="R43" s="7">
        <f t="shared" si="0"/>
        <v>45596</v>
      </c>
      <c r="S43" s="8">
        <f t="shared" si="1"/>
        <v>526</v>
      </c>
    </row>
    <row r="44" spans="1:19">
      <c r="A44" t="s">
        <v>155</v>
      </c>
      <c r="B44" s="7">
        <v>45446</v>
      </c>
      <c r="C44" t="s">
        <v>156</v>
      </c>
      <c r="D44" t="s">
        <v>157</v>
      </c>
      <c r="E44" t="s">
        <v>119</v>
      </c>
      <c r="F44" t="s">
        <v>120</v>
      </c>
      <c r="G44" t="s">
        <v>21</v>
      </c>
      <c r="H44">
        <v>5</v>
      </c>
      <c r="I44">
        <v>89.99</v>
      </c>
      <c r="J44" t="s">
        <v>28</v>
      </c>
      <c r="K44" t="s">
        <v>65</v>
      </c>
      <c r="L44" t="s">
        <v>38</v>
      </c>
      <c r="M44" s="7">
        <v>44587</v>
      </c>
      <c r="N44">
        <v>449.95</v>
      </c>
      <c r="P44">
        <v>2024</v>
      </c>
      <c r="Q44" t="str">
        <v>June</v>
      </c>
      <c r="R44" s="7">
        <f t="shared" si="0"/>
        <v>45657</v>
      </c>
      <c r="S44" s="8">
        <f t="shared" si="1"/>
        <v>54</v>
      </c>
    </row>
    <row r="45" spans="1:19">
      <c r="A45" t="s">
        <v>158</v>
      </c>
      <c r="B45" s="7">
        <v>45449</v>
      </c>
      <c r="C45" t="s">
        <v>26</v>
      </c>
      <c r="D45" t="s">
        <v>27</v>
      </c>
      <c r="E45" t="s">
        <v>19</v>
      </c>
      <c r="F45" t="s">
        <v>20</v>
      </c>
      <c r="G45" t="s">
        <v>21</v>
      </c>
      <c r="H45">
        <v>5</v>
      </c>
      <c r="I45">
        <v>249.99</v>
      </c>
      <c r="J45" t="s">
        <v>28</v>
      </c>
      <c r="K45" t="s">
        <v>65</v>
      </c>
      <c r="L45" t="s">
        <v>38</v>
      </c>
      <c r="M45" s="7">
        <v>44707</v>
      </c>
      <c r="N45">
        <v>1249.95</v>
      </c>
      <c r="P45">
        <v>2024</v>
      </c>
      <c r="Q45" t="str">
        <v>June</v>
      </c>
      <c r="R45" s="7">
        <f t="shared" si="0"/>
        <v>45657</v>
      </c>
      <c r="S45" s="8">
        <f t="shared" si="1"/>
        <v>303</v>
      </c>
    </row>
    <row r="46" spans="1:19">
      <c r="A46" t="s">
        <v>159</v>
      </c>
      <c r="B46" s="7">
        <v>45449</v>
      </c>
      <c r="C46" t="s">
        <v>160</v>
      </c>
      <c r="D46" t="s">
        <v>161</v>
      </c>
      <c r="E46" t="s">
        <v>119</v>
      </c>
      <c r="F46" t="s">
        <v>120</v>
      </c>
      <c r="G46" t="s">
        <v>21</v>
      </c>
      <c r="H46">
        <v>1</v>
      </c>
      <c r="I46">
        <v>89.99</v>
      </c>
      <c r="J46" t="s">
        <v>28</v>
      </c>
      <c r="K46" t="s">
        <v>37</v>
      </c>
      <c r="L46" t="s">
        <v>38</v>
      </c>
      <c r="M46" s="7">
        <v>44582</v>
      </c>
      <c r="N46">
        <v>89.99</v>
      </c>
      <c r="P46">
        <v>2024</v>
      </c>
      <c r="Q46" t="str">
        <v>June</v>
      </c>
      <c r="R46" s="7">
        <f t="shared" si="0"/>
        <v>45657</v>
      </c>
      <c r="S46" s="8">
        <f t="shared" si="1"/>
        <v>859</v>
      </c>
    </row>
    <row r="47" spans="1:19">
      <c r="A47" t="s">
        <v>162</v>
      </c>
      <c r="B47" s="7">
        <v>45450</v>
      </c>
      <c r="C47" t="s">
        <v>44</v>
      </c>
      <c r="D47" t="s">
        <v>45</v>
      </c>
      <c r="E47" t="s">
        <v>46</v>
      </c>
      <c r="F47" t="s">
        <v>47</v>
      </c>
      <c r="G47" t="s">
        <v>48</v>
      </c>
      <c r="H47">
        <v>2</v>
      </c>
      <c r="I47">
        <v>149.99</v>
      </c>
      <c r="J47" t="s">
        <v>22</v>
      </c>
      <c r="K47" t="s">
        <v>65</v>
      </c>
      <c r="L47" t="s">
        <v>29</v>
      </c>
      <c r="M47" s="7">
        <v>44645</v>
      </c>
      <c r="N47">
        <v>299.98</v>
      </c>
      <c r="P47">
        <v>2024</v>
      </c>
      <c r="Q47" t="str">
        <v>June</v>
      </c>
      <c r="R47" s="7">
        <f t="shared" si="0"/>
        <v>45657</v>
      </c>
      <c r="S47" s="8">
        <f t="shared" si="1"/>
        <v>742</v>
      </c>
    </row>
    <row r="48" spans="1:19">
      <c r="A48" t="s">
        <v>163</v>
      </c>
      <c r="B48" s="7">
        <v>45452</v>
      </c>
      <c r="C48" t="s">
        <v>164</v>
      </c>
      <c r="D48" t="s">
        <v>165</v>
      </c>
      <c r="E48" t="s">
        <v>33</v>
      </c>
      <c r="F48" t="s">
        <v>34</v>
      </c>
      <c r="G48" t="s">
        <v>35</v>
      </c>
      <c r="H48">
        <v>4</v>
      </c>
      <c r="I48">
        <v>59.99</v>
      </c>
      <c r="J48" t="s">
        <v>22</v>
      </c>
      <c r="K48" t="s">
        <v>65</v>
      </c>
      <c r="L48" t="s">
        <v>38</v>
      </c>
      <c r="M48" s="7">
        <v>44435</v>
      </c>
      <c r="N48">
        <v>239.96</v>
      </c>
      <c r="P48">
        <v>2024</v>
      </c>
      <c r="Q48" t="str">
        <v>June</v>
      </c>
      <c r="R48" s="7">
        <f t="shared" si="0"/>
        <v>45657</v>
      </c>
      <c r="S48" s="8">
        <f t="shared" si="1"/>
        <v>867</v>
      </c>
    </row>
    <row r="49" spans="1:19">
      <c r="A49" t="s">
        <v>166</v>
      </c>
      <c r="B49" s="7">
        <v>45456</v>
      </c>
      <c r="C49" t="s">
        <v>131</v>
      </c>
      <c r="D49" t="s">
        <v>132</v>
      </c>
      <c r="E49" t="s">
        <v>119</v>
      </c>
      <c r="F49" t="s">
        <v>120</v>
      </c>
      <c r="G49" t="s">
        <v>21</v>
      </c>
      <c r="H49">
        <v>5</v>
      </c>
      <c r="I49">
        <v>89.99</v>
      </c>
      <c r="J49" t="s">
        <v>22</v>
      </c>
      <c r="K49" t="s">
        <v>23</v>
      </c>
      <c r="L49" t="s">
        <v>29</v>
      </c>
      <c r="M49" s="7">
        <v>44579</v>
      </c>
      <c r="N49">
        <v>449.95</v>
      </c>
      <c r="P49">
        <v>2024</v>
      </c>
      <c r="Q49" t="str">
        <v>June</v>
      </c>
      <c r="R49" s="7">
        <f t="shared" si="0"/>
        <v>45657</v>
      </c>
      <c r="S49" s="8">
        <f t="shared" si="1"/>
        <v>805</v>
      </c>
    </row>
    <row r="50" spans="1:19">
      <c r="A50" t="s">
        <v>167</v>
      </c>
      <c r="B50" s="7">
        <v>45459</v>
      </c>
      <c r="C50" t="s">
        <v>101</v>
      </c>
      <c r="D50" t="s">
        <v>102</v>
      </c>
      <c r="E50" t="s">
        <v>119</v>
      </c>
      <c r="F50" t="s">
        <v>120</v>
      </c>
      <c r="G50" t="s">
        <v>21</v>
      </c>
      <c r="H50">
        <v>2</v>
      </c>
      <c r="I50">
        <v>89.99</v>
      </c>
      <c r="J50" t="s">
        <v>28</v>
      </c>
      <c r="K50" t="s">
        <v>37</v>
      </c>
      <c r="L50" t="s">
        <v>29</v>
      </c>
      <c r="M50" s="7">
        <v>44471</v>
      </c>
      <c r="N50">
        <v>179.98</v>
      </c>
      <c r="P50">
        <v>2024</v>
      </c>
      <c r="Q50" t="str">
        <v>June</v>
      </c>
      <c r="R50" s="7">
        <f t="shared" si="0"/>
        <v>45657</v>
      </c>
      <c r="S50" s="8">
        <f t="shared" si="1"/>
        <v>1017</v>
      </c>
    </row>
    <row r="51" spans="1:19">
      <c r="A51" t="s">
        <v>168</v>
      </c>
      <c r="B51" s="7">
        <v>45459</v>
      </c>
      <c r="C51" t="s">
        <v>17</v>
      </c>
      <c r="D51" t="s">
        <v>18</v>
      </c>
      <c r="E51" t="s">
        <v>63</v>
      </c>
      <c r="F51" t="s">
        <v>64</v>
      </c>
      <c r="G51" t="s">
        <v>21</v>
      </c>
      <c r="H51">
        <v>5</v>
      </c>
      <c r="I51">
        <v>899.99</v>
      </c>
      <c r="J51" t="s">
        <v>28</v>
      </c>
      <c r="K51" t="s">
        <v>37</v>
      </c>
      <c r="L51" t="s">
        <v>38</v>
      </c>
      <c r="M51" s="7">
        <v>44974</v>
      </c>
      <c r="N51">
        <v>4499.95</v>
      </c>
      <c r="P51">
        <v>2024</v>
      </c>
      <c r="Q51" t="str">
        <v>June</v>
      </c>
      <c r="R51" s="7">
        <f t="shared" si="0"/>
        <v>45657</v>
      </c>
      <c r="S51" s="8">
        <f t="shared" si="1"/>
        <v>877</v>
      </c>
    </row>
    <row r="52" spans="1:19">
      <c r="A52" t="s">
        <v>169</v>
      </c>
      <c r="B52" s="7">
        <v>45459</v>
      </c>
      <c r="C52" t="s">
        <v>125</v>
      </c>
      <c r="D52" t="s">
        <v>126</v>
      </c>
      <c r="E52" t="s">
        <v>63</v>
      </c>
      <c r="F52" t="s">
        <v>64</v>
      </c>
      <c r="G52" t="s">
        <v>21</v>
      </c>
      <c r="H52">
        <v>5</v>
      </c>
      <c r="I52">
        <v>899.99</v>
      </c>
      <c r="J52" t="s">
        <v>36</v>
      </c>
      <c r="K52" t="s">
        <v>65</v>
      </c>
      <c r="L52" t="s">
        <v>29</v>
      </c>
      <c r="M52" s="7">
        <v>45278</v>
      </c>
      <c r="N52">
        <v>4499.95</v>
      </c>
      <c r="P52">
        <v>2024</v>
      </c>
      <c r="Q52" t="str">
        <v>June</v>
      </c>
      <c r="R52" s="7">
        <f t="shared" si="0"/>
        <v>45657</v>
      </c>
      <c r="S52" s="8">
        <f t="shared" si="1"/>
        <v>988</v>
      </c>
    </row>
    <row r="53" spans="1:19">
      <c r="A53" t="s">
        <v>170</v>
      </c>
      <c r="B53" s="7">
        <v>45460</v>
      </c>
      <c r="C53" t="s">
        <v>160</v>
      </c>
      <c r="D53" t="s">
        <v>161</v>
      </c>
      <c r="E53" t="s">
        <v>33</v>
      </c>
      <c r="F53" t="s">
        <v>34</v>
      </c>
      <c r="G53" t="s">
        <v>35</v>
      </c>
      <c r="H53">
        <v>1</v>
      </c>
      <c r="I53">
        <v>59.99</v>
      </c>
      <c r="J53" t="s">
        <v>59</v>
      </c>
      <c r="K53" t="s">
        <v>52</v>
      </c>
      <c r="L53" t="s">
        <v>29</v>
      </c>
      <c r="M53" s="7">
        <v>45190</v>
      </c>
      <c r="N53">
        <v>59.99</v>
      </c>
      <c r="P53">
        <v>2024</v>
      </c>
      <c r="Q53" t="str">
        <v>June</v>
      </c>
      <c r="R53" s="7">
        <f t="shared" si="0"/>
        <v>45657</v>
      </c>
      <c r="S53" s="8">
        <f t="shared" si="1"/>
        <v>485</v>
      </c>
    </row>
    <row r="54" spans="1:19">
      <c r="A54" t="s">
        <v>171</v>
      </c>
      <c r="B54" s="7">
        <v>45460</v>
      </c>
      <c r="C54" t="s">
        <v>143</v>
      </c>
      <c r="D54" t="s">
        <v>144</v>
      </c>
      <c r="E54" t="s">
        <v>107</v>
      </c>
      <c r="F54" t="s">
        <v>108</v>
      </c>
      <c r="G54" t="s">
        <v>48</v>
      </c>
      <c r="H54">
        <v>2</v>
      </c>
      <c r="I54">
        <v>299.99</v>
      </c>
      <c r="J54" t="s">
        <v>59</v>
      </c>
      <c r="K54" t="s">
        <v>65</v>
      </c>
      <c r="L54" t="s">
        <v>38</v>
      </c>
      <c r="M54" s="7">
        <v>45253</v>
      </c>
      <c r="N54">
        <v>599.98</v>
      </c>
      <c r="P54">
        <v>2024</v>
      </c>
      <c r="Q54" t="str">
        <v>June</v>
      </c>
      <c r="R54" s="7">
        <f t="shared" si="0"/>
        <v>45657</v>
      </c>
      <c r="S54" s="8">
        <f t="shared" si="1"/>
        <v>181</v>
      </c>
    </row>
    <row r="55" spans="1:19">
      <c r="A55" t="s">
        <v>172</v>
      </c>
      <c r="B55" s="7">
        <v>45468</v>
      </c>
      <c r="C55" t="s">
        <v>173</v>
      </c>
      <c r="D55" t="s">
        <v>174</v>
      </c>
      <c r="E55" t="s">
        <v>119</v>
      </c>
      <c r="F55" t="s">
        <v>120</v>
      </c>
      <c r="G55" t="s">
        <v>21</v>
      </c>
      <c r="H55">
        <v>4</v>
      </c>
      <c r="I55">
        <v>89.99</v>
      </c>
      <c r="J55" t="s">
        <v>59</v>
      </c>
      <c r="K55" t="s">
        <v>37</v>
      </c>
      <c r="L55" t="s">
        <v>24</v>
      </c>
      <c r="M55" s="7">
        <v>45281</v>
      </c>
      <c r="N55">
        <v>359.96</v>
      </c>
      <c r="P55">
        <v>2024</v>
      </c>
      <c r="Q55" t="str">
        <v>June</v>
      </c>
      <c r="R55" s="7">
        <f t="shared" si="0"/>
        <v>45657</v>
      </c>
      <c r="S55" s="8">
        <f t="shared" si="1"/>
        <v>270</v>
      </c>
    </row>
    <row r="56" spans="1:19">
      <c r="A56" t="s">
        <v>175</v>
      </c>
      <c r="B56" s="7">
        <v>45469</v>
      </c>
      <c r="C56" t="s">
        <v>31</v>
      </c>
      <c r="D56" t="s">
        <v>32</v>
      </c>
      <c r="E56" t="s">
        <v>116</v>
      </c>
      <c r="F56" t="s">
        <v>117</v>
      </c>
      <c r="G56" t="s">
        <v>35</v>
      </c>
      <c r="H56">
        <v>1</v>
      </c>
      <c r="I56">
        <v>79.989999999999995</v>
      </c>
      <c r="J56" t="s">
        <v>36</v>
      </c>
      <c r="K56" t="s">
        <v>23</v>
      </c>
      <c r="L56" t="s">
        <v>29</v>
      </c>
      <c r="M56" s="7">
        <v>45352</v>
      </c>
      <c r="N56">
        <v>79.989999999999995</v>
      </c>
      <c r="P56">
        <v>2024</v>
      </c>
      <c r="Q56" t="str">
        <v>June</v>
      </c>
      <c r="R56" s="7">
        <f t="shared" si="0"/>
        <v>45657</v>
      </c>
      <c r="S56" s="8">
        <f t="shared" si="1"/>
        <v>207</v>
      </c>
    </row>
    <row r="57" spans="1:19">
      <c r="A57" t="s">
        <v>176</v>
      </c>
      <c r="B57" s="7">
        <v>45469</v>
      </c>
      <c r="C57" t="s">
        <v>61</v>
      </c>
      <c r="D57" t="s">
        <v>62</v>
      </c>
      <c r="E57" t="s">
        <v>119</v>
      </c>
      <c r="F57" t="s">
        <v>120</v>
      </c>
      <c r="G57" t="s">
        <v>21</v>
      </c>
      <c r="H57">
        <v>2</v>
      </c>
      <c r="I57">
        <v>89.99</v>
      </c>
      <c r="J57" t="s">
        <v>22</v>
      </c>
      <c r="K57" t="s">
        <v>52</v>
      </c>
      <c r="L57" t="s">
        <v>24</v>
      </c>
      <c r="M57" s="7">
        <v>44438</v>
      </c>
      <c r="N57">
        <v>179.98</v>
      </c>
      <c r="P57">
        <v>2024</v>
      </c>
      <c r="Q57" t="str">
        <v>June</v>
      </c>
      <c r="R57" s="7">
        <f t="shared" si="0"/>
        <v>45657</v>
      </c>
      <c r="S57" s="8">
        <f t="shared" si="1"/>
        <v>187</v>
      </c>
    </row>
    <row r="58" spans="1:19">
      <c r="A58" t="s">
        <v>177</v>
      </c>
      <c r="B58" s="7">
        <v>45471</v>
      </c>
      <c r="C58" t="s">
        <v>40</v>
      </c>
      <c r="D58" t="s">
        <v>41</v>
      </c>
      <c r="E58" t="s">
        <v>82</v>
      </c>
      <c r="F58" t="s">
        <v>83</v>
      </c>
      <c r="G58" t="s">
        <v>21</v>
      </c>
      <c r="H58">
        <v>3</v>
      </c>
      <c r="I58">
        <v>699.99</v>
      </c>
      <c r="J58" t="s">
        <v>28</v>
      </c>
      <c r="K58" t="s">
        <v>65</v>
      </c>
      <c r="L58" t="s">
        <v>29</v>
      </c>
      <c r="M58" s="7">
        <v>45102</v>
      </c>
      <c r="N58">
        <v>2099.9699999999998</v>
      </c>
      <c r="P58">
        <v>2024</v>
      </c>
      <c r="Q58" t="str">
        <v>June</v>
      </c>
      <c r="R58" s="7">
        <f t="shared" si="0"/>
        <v>45657</v>
      </c>
      <c r="S58" s="8">
        <f t="shared" si="1"/>
        <v>117</v>
      </c>
    </row>
    <row r="59" spans="1:19">
      <c r="A59" t="s">
        <v>178</v>
      </c>
      <c r="B59" s="7">
        <v>45471</v>
      </c>
      <c r="C59" t="s">
        <v>101</v>
      </c>
      <c r="D59" t="s">
        <v>102</v>
      </c>
      <c r="E59" t="s">
        <v>63</v>
      </c>
      <c r="F59" t="s">
        <v>64</v>
      </c>
      <c r="G59" t="s">
        <v>21</v>
      </c>
      <c r="H59">
        <v>4</v>
      </c>
      <c r="I59">
        <v>899.99</v>
      </c>
      <c r="J59" t="s">
        <v>28</v>
      </c>
      <c r="K59" t="s">
        <v>65</v>
      </c>
      <c r="L59" t="s">
        <v>29</v>
      </c>
      <c r="M59" s="7">
        <v>44993</v>
      </c>
      <c r="N59">
        <v>3599.96</v>
      </c>
      <c r="P59">
        <v>2024</v>
      </c>
      <c r="Q59" t="str">
        <v>June</v>
      </c>
      <c r="R59" s="7">
        <f t="shared" si="0"/>
        <v>45657</v>
      </c>
      <c r="S59" s="8">
        <f t="shared" si="1"/>
        <v>1031</v>
      </c>
    </row>
    <row r="60" spans="1:19">
      <c r="A60" t="s">
        <v>179</v>
      </c>
      <c r="B60" s="7">
        <v>45472</v>
      </c>
      <c r="C60" t="s">
        <v>122</v>
      </c>
      <c r="D60" t="s">
        <v>123</v>
      </c>
      <c r="E60" t="s">
        <v>46</v>
      </c>
      <c r="F60" t="s">
        <v>47</v>
      </c>
      <c r="G60" t="s">
        <v>48</v>
      </c>
      <c r="H60">
        <v>1</v>
      </c>
      <c r="I60">
        <v>149.99</v>
      </c>
      <c r="J60" t="s">
        <v>36</v>
      </c>
      <c r="K60" t="s">
        <v>65</v>
      </c>
      <c r="L60" t="s">
        <v>24</v>
      </c>
      <c r="M60" s="7">
        <v>44851</v>
      </c>
      <c r="N60">
        <v>149.99</v>
      </c>
      <c r="P60">
        <v>2024</v>
      </c>
      <c r="Q60" t="str">
        <v>June</v>
      </c>
      <c r="R60" s="7">
        <f t="shared" si="0"/>
        <v>45657</v>
      </c>
      <c r="S60" s="8">
        <f t="shared" si="1"/>
        <v>369</v>
      </c>
    </row>
    <row r="61" spans="1:19">
      <c r="A61" t="s">
        <v>180</v>
      </c>
      <c r="B61" s="7">
        <v>45474</v>
      </c>
      <c r="C61" t="s">
        <v>134</v>
      </c>
      <c r="D61" t="s">
        <v>135</v>
      </c>
      <c r="E61" t="s">
        <v>119</v>
      </c>
      <c r="F61" t="s">
        <v>120</v>
      </c>
      <c r="G61" t="s">
        <v>21</v>
      </c>
      <c r="H61">
        <v>2</v>
      </c>
      <c r="I61">
        <v>89.99</v>
      </c>
      <c r="J61" t="s">
        <v>36</v>
      </c>
      <c r="K61" t="s">
        <v>23</v>
      </c>
      <c r="L61" t="s">
        <v>29</v>
      </c>
      <c r="M61" s="7">
        <v>45275</v>
      </c>
      <c r="N61">
        <v>179.98</v>
      </c>
      <c r="P61">
        <v>2024</v>
      </c>
      <c r="Q61" t="str">
        <v>June</v>
      </c>
      <c r="R61" s="7">
        <f t="shared" si="0"/>
        <v>45657</v>
      </c>
      <c r="S61" s="8">
        <f t="shared" si="1"/>
        <v>478</v>
      </c>
    </row>
    <row r="62" spans="1:19">
      <c r="A62" t="s">
        <v>181</v>
      </c>
      <c r="B62" s="7">
        <v>45475</v>
      </c>
      <c r="C62" t="s">
        <v>57</v>
      </c>
      <c r="D62" t="s">
        <v>58</v>
      </c>
      <c r="E62" t="s">
        <v>119</v>
      </c>
      <c r="F62" t="s">
        <v>120</v>
      </c>
      <c r="G62" t="s">
        <v>21</v>
      </c>
      <c r="H62">
        <v>1</v>
      </c>
      <c r="I62">
        <v>89.99</v>
      </c>
      <c r="J62" t="s">
        <v>36</v>
      </c>
      <c r="K62" t="s">
        <v>52</v>
      </c>
      <c r="L62" t="s">
        <v>38</v>
      </c>
      <c r="M62" s="7">
        <v>44802</v>
      </c>
      <c r="N62">
        <v>89.99</v>
      </c>
      <c r="P62">
        <v>2024</v>
      </c>
      <c r="Q62" t="str">
        <v>June</v>
      </c>
      <c r="R62" s="7">
        <f t="shared" si="0"/>
        <v>45657</v>
      </c>
      <c r="S62" s="8">
        <f t="shared" si="1"/>
        <v>621</v>
      </c>
    </row>
    <row r="63" spans="1:19">
      <c r="A63" t="s">
        <v>182</v>
      </c>
      <c r="B63" s="7">
        <v>45476</v>
      </c>
      <c r="C63" t="s">
        <v>70</v>
      </c>
      <c r="D63" t="s">
        <v>71</v>
      </c>
      <c r="E63" t="s">
        <v>119</v>
      </c>
      <c r="F63" t="s">
        <v>120</v>
      </c>
      <c r="G63" t="s">
        <v>21</v>
      </c>
      <c r="H63">
        <v>1</v>
      </c>
      <c r="I63">
        <v>89.99</v>
      </c>
      <c r="J63" t="s">
        <v>22</v>
      </c>
      <c r="K63" t="s">
        <v>37</v>
      </c>
      <c r="L63" t="s">
        <v>38</v>
      </c>
      <c r="M63" s="7">
        <v>44611</v>
      </c>
      <c r="N63">
        <v>89.99</v>
      </c>
      <c r="P63">
        <v>2024</v>
      </c>
      <c r="Q63" t="str">
        <v>July</v>
      </c>
      <c r="R63" s="7">
        <f t="shared" si="0"/>
        <v>45716</v>
      </c>
      <c r="S63" s="8">
        <f t="shared" si="1"/>
        <v>199</v>
      </c>
    </row>
    <row r="64" spans="1:19">
      <c r="A64" t="s">
        <v>183</v>
      </c>
      <c r="B64" s="7">
        <v>45476</v>
      </c>
      <c r="C64" t="s">
        <v>184</v>
      </c>
      <c r="D64" t="s">
        <v>185</v>
      </c>
      <c r="E64" t="s">
        <v>116</v>
      </c>
      <c r="F64" t="s">
        <v>117</v>
      </c>
      <c r="G64" t="s">
        <v>35</v>
      </c>
      <c r="H64">
        <v>5</v>
      </c>
      <c r="I64">
        <v>79.989999999999995</v>
      </c>
      <c r="J64" t="s">
        <v>59</v>
      </c>
      <c r="K64" t="s">
        <v>23</v>
      </c>
      <c r="L64" t="s">
        <v>24</v>
      </c>
      <c r="M64" s="7">
        <v>44981</v>
      </c>
      <c r="N64">
        <v>399.95</v>
      </c>
      <c r="P64">
        <v>2024</v>
      </c>
      <c r="Q64" t="str">
        <v>July</v>
      </c>
      <c r="R64" s="7">
        <f t="shared" si="0"/>
        <v>45716</v>
      </c>
      <c r="S64" s="8">
        <f t="shared" si="1"/>
        <v>673</v>
      </c>
    </row>
    <row r="65" spans="1:19">
      <c r="A65" t="s">
        <v>186</v>
      </c>
      <c r="B65" s="7">
        <v>45481</v>
      </c>
      <c r="C65" t="s">
        <v>187</v>
      </c>
      <c r="D65" t="s">
        <v>188</v>
      </c>
      <c r="E65" t="s">
        <v>46</v>
      </c>
      <c r="F65" t="s">
        <v>47</v>
      </c>
      <c r="G65" t="s">
        <v>48</v>
      </c>
      <c r="H65">
        <v>1</v>
      </c>
      <c r="I65">
        <v>149.99</v>
      </c>
      <c r="J65" t="s">
        <v>36</v>
      </c>
      <c r="K65" t="s">
        <v>42</v>
      </c>
      <c r="L65" t="s">
        <v>24</v>
      </c>
      <c r="M65" s="7">
        <v>44421</v>
      </c>
      <c r="N65">
        <v>149.99</v>
      </c>
      <c r="P65">
        <v>2024</v>
      </c>
      <c r="Q65" t="str">
        <v>July</v>
      </c>
      <c r="R65" s="7">
        <f t="shared" si="0"/>
        <v>45716</v>
      </c>
      <c r="S65" s="8">
        <f t="shared" si="1"/>
        <v>865</v>
      </c>
    </row>
    <row r="66" spans="1:19">
      <c r="A66" t="s">
        <v>189</v>
      </c>
      <c r="B66" s="7">
        <v>45481</v>
      </c>
      <c r="C66" t="s">
        <v>44</v>
      </c>
      <c r="D66" t="s">
        <v>45</v>
      </c>
      <c r="E66" t="s">
        <v>82</v>
      </c>
      <c r="F66" t="s">
        <v>83</v>
      </c>
      <c r="G66" t="s">
        <v>21</v>
      </c>
      <c r="H66">
        <v>2</v>
      </c>
      <c r="I66">
        <v>699.99</v>
      </c>
      <c r="J66" t="s">
        <v>36</v>
      </c>
      <c r="K66" t="s">
        <v>65</v>
      </c>
      <c r="L66" t="s">
        <v>29</v>
      </c>
      <c r="M66" s="7">
        <v>45389</v>
      </c>
      <c r="N66">
        <v>1399.98</v>
      </c>
      <c r="P66">
        <v>2024</v>
      </c>
      <c r="Q66" t="str">
        <v>July</v>
      </c>
      <c r="R66" s="7">
        <f t="shared" si="0"/>
        <v>45716</v>
      </c>
      <c r="S66" s="8">
        <f t="shared" si="1"/>
        <v>495</v>
      </c>
    </row>
    <row r="67" spans="1:19">
      <c r="A67" t="s">
        <v>190</v>
      </c>
      <c r="B67" s="7">
        <v>45481</v>
      </c>
      <c r="C67" t="s">
        <v>98</v>
      </c>
      <c r="D67" t="s">
        <v>99</v>
      </c>
      <c r="E67" t="s">
        <v>119</v>
      </c>
      <c r="F67" t="s">
        <v>120</v>
      </c>
      <c r="G67" t="s">
        <v>21</v>
      </c>
      <c r="H67">
        <v>5</v>
      </c>
      <c r="I67">
        <v>89.99</v>
      </c>
      <c r="J67" t="s">
        <v>59</v>
      </c>
      <c r="K67" t="s">
        <v>42</v>
      </c>
      <c r="L67" t="s">
        <v>29</v>
      </c>
      <c r="M67" s="7">
        <v>45161</v>
      </c>
      <c r="N67">
        <v>449.95</v>
      </c>
      <c r="P67">
        <v>2024</v>
      </c>
      <c r="Q67" t="str">
        <v>July</v>
      </c>
      <c r="R67" s="7">
        <f t="shared" si="0"/>
        <v>45716</v>
      </c>
      <c r="S67" s="8">
        <f t="shared" si="1"/>
        <v>1060</v>
      </c>
    </row>
    <row r="68" spans="1:19">
      <c r="A68" t="s">
        <v>191</v>
      </c>
      <c r="B68" s="7">
        <v>45482</v>
      </c>
      <c r="C68" t="s">
        <v>173</v>
      </c>
      <c r="D68" t="s">
        <v>174</v>
      </c>
      <c r="E68" t="s">
        <v>33</v>
      </c>
      <c r="F68" t="s">
        <v>34</v>
      </c>
      <c r="G68" t="s">
        <v>35</v>
      </c>
      <c r="H68">
        <v>4</v>
      </c>
      <c r="I68">
        <v>59.99</v>
      </c>
      <c r="J68" t="s">
        <v>22</v>
      </c>
      <c r="K68" t="s">
        <v>37</v>
      </c>
      <c r="L68" t="s">
        <v>38</v>
      </c>
      <c r="M68" s="7">
        <v>44509</v>
      </c>
      <c r="N68">
        <v>239.96</v>
      </c>
      <c r="P68">
        <v>2024</v>
      </c>
      <c r="Q68" t="str">
        <v>July</v>
      </c>
      <c r="R68" s="7">
        <f t="shared" si="0"/>
        <v>45716</v>
      </c>
      <c r="S68" s="8">
        <f t="shared" si="1"/>
        <v>92</v>
      </c>
    </row>
    <row r="69" spans="1:19">
      <c r="A69" t="s">
        <v>192</v>
      </c>
      <c r="B69" s="7">
        <v>45484</v>
      </c>
      <c r="C69" t="s">
        <v>26</v>
      </c>
      <c r="D69" t="s">
        <v>27</v>
      </c>
      <c r="E69" t="s">
        <v>54</v>
      </c>
      <c r="F69" t="s">
        <v>55</v>
      </c>
      <c r="G69" t="s">
        <v>21</v>
      </c>
      <c r="H69">
        <v>1</v>
      </c>
      <c r="I69">
        <v>149.99</v>
      </c>
      <c r="J69" t="s">
        <v>22</v>
      </c>
      <c r="K69" t="s">
        <v>23</v>
      </c>
      <c r="L69" t="s">
        <v>38</v>
      </c>
      <c r="M69" s="7">
        <v>44909</v>
      </c>
      <c r="N69">
        <v>149.99</v>
      </c>
      <c r="P69">
        <v>2024</v>
      </c>
      <c r="Q69" t="str">
        <v>July</v>
      </c>
      <c r="R69" s="7">
        <f t="shared" ref="R69:R132" si="2">EOMONTH(B67,MONTH(B67))</f>
        <v>45716</v>
      </c>
      <c r="S69" s="8">
        <f t="shared" ref="S69:S132" si="3">DATEDIF(M67,B67,"d")</f>
        <v>320</v>
      </c>
    </row>
    <row r="70" spans="1:19">
      <c r="A70" t="s">
        <v>193</v>
      </c>
      <c r="B70" s="7">
        <v>45484</v>
      </c>
      <c r="C70" t="s">
        <v>194</v>
      </c>
      <c r="D70" t="s">
        <v>195</v>
      </c>
      <c r="E70" t="s">
        <v>107</v>
      </c>
      <c r="F70" t="s">
        <v>108</v>
      </c>
      <c r="G70" t="s">
        <v>48</v>
      </c>
      <c r="H70">
        <v>1</v>
      </c>
      <c r="I70">
        <v>299.99</v>
      </c>
      <c r="J70" t="s">
        <v>28</v>
      </c>
      <c r="K70" t="s">
        <v>42</v>
      </c>
      <c r="L70" t="s">
        <v>29</v>
      </c>
      <c r="M70" s="7">
        <v>44891</v>
      </c>
      <c r="N70">
        <v>299.99</v>
      </c>
      <c r="P70">
        <v>2024</v>
      </c>
      <c r="Q70" t="str">
        <v>July</v>
      </c>
      <c r="R70" s="7">
        <f t="shared" si="2"/>
        <v>45716</v>
      </c>
      <c r="S70" s="8">
        <f t="shared" si="3"/>
        <v>973</v>
      </c>
    </row>
    <row r="71" spans="1:19">
      <c r="A71" t="s">
        <v>196</v>
      </c>
      <c r="B71" s="7">
        <v>45487</v>
      </c>
      <c r="C71" t="s">
        <v>194</v>
      </c>
      <c r="D71" t="s">
        <v>195</v>
      </c>
      <c r="E71" t="s">
        <v>128</v>
      </c>
      <c r="F71" t="s">
        <v>129</v>
      </c>
      <c r="G71" t="s">
        <v>48</v>
      </c>
      <c r="H71">
        <v>2</v>
      </c>
      <c r="I71">
        <v>199.99</v>
      </c>
      <c r="J71" t="s">
        <v>22</v>
      </c>
      <c r="K71" t="s">
        <v>42</v>
      </c>
      <c r="L71" t="s">
        <v>24</v>
      </c>
      <c r="M71" s="7">
        <v>44541</v>
      </c>
      <c r="N71">
        <v>399.98</v>
      </c>
      <c r="P71">
        <v>2024</v>
      </c>
      <c r="Q71" t="str">
        <v>July</v>
      </c>
      <c r="R71" s="7">
        <f t="shared" si="2"/>
        <v>45716</v>
      </c>
      <c r="S71" s="8">
        <f t="shared" si="3"/>
        <v>575</v>
      </c>
    </row>
    <row r="72" spans="1:19">
      <c r="A72" t="s">
        <v>197</v>
      </c>
      <c r="B72" s="7">
        <v>45490</v>
      </c>
      <c r="C72" t="s">
        <v>198</v>
      </c>
      <c r="D72" t="s">
        <v>199</v>
      </c>
      <c r="E72" t="s">
        <v>33</v>
      </c>
      <c r="F72" t="s">
        <v>34</v>
      </c>
      <c r="G72" t="s">
        <v>35</v>
      </c>
      <c r="H72">
        <v>3</v>
      </c>
      <c r="I72">
        <v>59.99</v>
      </c>
      <c r="J72" t="s">
        <v>28</v>
      </c>
      <c r="K72" t="s">
        <v>52</v>
      </c>
      <c r="L72" t="s">
        <v>24</v>
      </c>
      <c r="M72" s="7">
        <v>45130</v>
      </c>
      <c r="N72">
        <v>179.97</v>
      </c>
      <c r="P72">
        <v>2024</v>
      </c>
      <c r="Q72" t="str">
        <v>July</v>
      </c>
      <c r="R72" s="7">
        <f t="shared" si="2"/>
        <v>45716</v>
      </c>
      <c r="S72" s="8">
        <f t="shared" si="3"/>
        <v>593</v>
      </c>
    </row>
    <row r="73" spans="1:19">
      <c r="A73" t="s">
        <v>200</v>
      </c>
      <c r="B73" s="7">
        <v>45490</v>
      </c>
      <c r="C73" t="s">
        <v>74</v>
      </c>
      <c r="D73" t="s">
        <v>75</v>
      </c>
      <c r="E73" t="s">
        <v>46</v>
      </c>
      <c r="F73" t="s">
        <v>47</v>
      </c>
      <c r="G73" t="s">
        <v>48</v>
      </c>
      <c r="H73">
        <v>3</v>
      </c>
      <c r="I73">
        <v>149.99</v>
      </c>
      <c r="J73" t="s">
        <v>22</v>
      </c>
      <c r="K73" t="s">
        <v>23</v>
      </c>
      <c r="L73" t="s">
        <v>29</v>
      </c>
      <c r="M73" s="7">
        <v>45199</v>
      </c>
      <c r="N73">
        <v>449.97</v>
      </c>
      <c r="P73">
        <v>2024</v>
      </c>
      <c r="Q73" t="str">
        <v>July</v>
      </c>
      <c r="R73" s="7">
        <f t="shared" si="2"/>
        <v>45716</v>
      </c>
      <c r="S73" s="8">
        <f t="shared" si="3"/>
        <v>946</v>
      </c>
    </row>
    <row r="74" spans="1:19">
      <c r="A74" t="s">
        <v>201</v>
      </c>
      <c r="B74" s="7">
        <v>45491</v>
      </c>
      <c r="C74" t="s">
        <v>67</v>
      </c>
      <c r="D74" t="s">
        <v>68</v>
      </c>
      <c r="E74" t="s">
        <v>128</v>
      </c>
      <c r="F74" t="s">
        <v>129</v>
      </c>
      <c r="G74" t="s">
        <v>48</v>
      </c>
      <c r="H74">
        <v>3</v>
      </c>
      <c r="I74">
        <v>199.99</v>
      </c>
      <c r="J74" t="s">
        <v>22</v>
      </c>
      <c r="K74" t="s">
        <v>42</v>
      </c>
      <c r="L74" t="s">
        <v>29</v>
      </c>
      <c r="M74" s="7">
        <v>45254</v>
      </c>
      <c r="N74">
        <v>599.97</v>
      </c>
      <c r="P74">
        <v>2024</v>
      </c>
      <c r="Q74" t="str">
        <v>July</v>
      </c>
      <c r="R74" s="7">
        <f t="shared" si="2"/>
        <v>45716</v>
      </c>
      <c r="S74" s="8">
        <f t="shared" si="3"/>
        <v>360</v>
      </c>
    </row>
    <row r="75" spans="1:19">
      <c r="A75" t="s">
        <v>202</v>
      </c>
      <c r="B75" s="7">
        <v>45496</v>
      </c>
      <c r="C75" t="s">
        <v>152</v>
      </c>
      <c r="D75" t="s">
        <v>153</v>
      </c>
      <c r="E75" t="s">
        <v>63</v>
      </c>
      <c r="F75" t="s">
        <v>64</v>
      </c>
      <c r="G75" t="s">
        <v>21</v>
      </c>
      <c r="H75">
        <v>1</v>
      </c>
      <c r="I75">
        <v>899.99</v>
      </c>
      <c r="J75" t="s">
        <v>22</v>
      </c>
      <c r="K75" t="s">
        <v>23</v>
      </c>
      <c r="L75" t="s">
        <v>38</v>
      </c>
      <c r="M75" s="7">
        <v>45179</v>
      </c>
      <c r="N75">
        <v>899.99</v>
      </c>
      <c r="P75">
        <v>2024</v>
      </c>
      <c r="Q75" t="str">
        <v>July</v>
      </c>
      <c r="R75" s="7">
        <f t="shared" si="2"/>
        <v>45716</v>
      </c>
      <c r="S75" s="8">
        <f t="shared" si="3"/>
        <v>291</v>
      </c>
    </row>
    <row r="76" spans="1:19">
      <c r="A76" t="s">
        <v>203</v>
      </c>
      <c r="B76" s="7">
        <v>45497</v>
      </c>
      <c r="C76" t="s">
        <v>26</v>
      </c>
      <c r="D76" t="s">
        <v>27</v>
      </c>
      <c r="E76" t="s">
        <v>63</v>
      </c>
      <c r="F76" t="s">
        <v>64</v>
      </c>
      <c r="G76" t="s">
        <v>21</v>
      </c>
      <c r="H76">
        <v>5</v>
      </c>
      <c r="I76">
        <v>899.99</v>
      </c>
      <c r="J76" t="s">
        <v>59</v>
      </c>
      <c r="K76" t="s">
        <v>37</v>
      </c>
      <c r="L76" t="s">
        <v>38</v>
      </c>
      <c r="M76" s="7">
        <v>44899</v>
      </c>
      <c r="N76">
        <v>4499.95</v>
      </c>
      <c r="P76">
        <v>2024</v>
      </c>
      <c r="Q76" t="str">
        <v>July</v>
      </c>
      <c r="R76" s="7">
        <f t="shared" si="2"/>
        <v>45716</v>
      </c>
      <c r="S76" s="8">
        <f t="shared" si="3"/>
        <v>237</v>
      </c>
    </row>
    <row r="77" spans="1:19">
      <c r="A77" t="s">
        <v>204</v>
      </c>
      <c r="B77" s="7">
        <v>45498</v>
      </c>
      <c r="C77" t="s">
        <v>184</v>
      </c>
      <c r="D77" t="s">
        <v>185</v>
      </c>
      <c r="E77" t="s">
        <v>33</v>
      </c>
      <c r="F77" t="s">
        <v>34</v>
      </c>
      <c r="G77" t="s">
        <v>35</v>
      </c>
      <c r="H77">
        <v>2</v>
      </c>
      <c r="I77">
        <v>59.99</v>
      </c>
      <c r="J77" t="s">
        <v>22</v>
      </c>
      <c r="K77" t="s">
        <v>42</v>
      </c>
      <c r="L77" t="s">
        <v>38</v>
      </c>
      <c r="M77" s="7">
        <v>45152</v>
      </c>
      <c r="N77">
        <v>119.98</v>
      </c>
      <c r="P77">
        <v>2024</v>
      </c>
      <c r="Q77" t="str">
        <v>July</v>
      </c>
      <c r="R77" s="7">
        <f t="shared" si="2"/>
        <v>45716</v>
      </c>
      <c r="S77" s="8">
        <f t="shared" si="3"/>
        <v>317</v>
      </c>
    </row>
    <row r="78" spans="1:19">
      <c r="A78" t="s">
        <v>205</v>
      </c>
      <c r="B78" s="7">
        <v>45498</v>
      </c>
      <c r="C78" t="s">
        <v>198</v>
      </c>
      <c r="D78" t="s">
        <v>199</v>
      </c>
      <c r="E78" t="s">
        <v>19</v>
      </c>
      <c r="F78" t="s">
        <v>20</v>
      </c>
      <c r="G78" t="s">
        <v>21</v>
      </c>
      <c r="H78">
        <v>4</v>
      </c>
      <c r="I78">
        <v>249.99</v>
      </c>
      <c r="J78" t="s">
        <v>59</v>
      </c>
      <c r="K78" t="s">
        <v>23</v>
      </c>
      <c r="L78" t="s">
        <v>38</v>
      </c>
      <c r="M78" s="7">
        <v>45127</v>
      </c>
      <c r="N78">
        <v>999.96</v>
      </c>
      <c r="P78">
        <v>2024</v>
      </c>
      <c r="Q78" t="str">
        <v>July</v>
      </c>
      <c r="R78" s="7">
        <f t="shared" si="2"/>
        <v>45716</v>
      </c>
      <c r="S78" s="8">
        <f t="shared" si="3"/>
        <v>598</v>
      </c>
    </row>
    <row r="79" spans="1:19">
      <c r="A79" t="s">
        <v>206</v>
      </c>
      <c r="B79" s="7">
        <v>45500</v>
      </c>
      <c r="C79" t="s">
        <v>98</v>
      </c>
      <c r="D79" t="s">
        <v>99</v>
      </c>
      <c r="E79" t="s">
        <v>19</v>
      </c>
      <c r="F79" t="s">
        <v>20</v>
      </c>
      <c r="G79" t="s">
        <v>21</v>
      </c>
      <c r="H79">
        <v>2</v>
      </c>
      <c r="I79">
        <v>249.99</v>
      </c>
      <c r="J79" t="s">
        <v>22</v>
      </c>
      <c r="K79" t="s">
        <v>42</v>
      </c>
      <c r="L79" t="s">
        <v>29</v>
      </c>
      <c r="M79" s="7">
        <v>45164</v>
      </c>
      <c r="N79">
        <v>499.98</v>
      </c>
      <c r="P79">
        <v>2024</v>
      </c>
      <c r="Q79" t="str">
        <v>July</v>
      </c>
      <c r="R79" s="7">
        <f t="shared" si="2"/>
        <v>45716</v>
      </c>
      <c r="S79" s="8">
        <f t="shared" si="3"/>
        <v>346</v>
      </c>
    </row>
    <row r="80" spans="1:19">
      <c r="A80" t="s">
        <v>207</v>
      </c>
      <c r="B80" s="7">
        <v>45500</v>
      </c>
      <c r="C80" t="s">
        <v>149</v>
      </c>
      <c r="D80" t="s">
        <v>150</v>
      </c>
      <c r="E80" t="s">
        <v>107</v>
      </c>
      <c r="F80" t="s">
        <v>108</v>
      </c>
      <c r="G80" t="s">
        <v>48</v>
      </c>
      <c r="H80">
        <v>1</v>
      </c>
      <c r="I80">
        <v>299.99</v>
      </c>
      <c r="J80" t="s">
        <v>22</v>
      </c>
      <c r="K80" t="s">
        <v>37</v>
      </c>
      <c r="L80" t="s">
        <v>24</v>
      </c>
      <c r="M80" s="7">
        <v>44982</v>
      </c>
      <c r="N80">
        <v>299.99</v>
      </c>
      <c r="P80">
        <v>2024</v>
      </c>
      <c r="Q80" t="str">
        <v>July</v>
      </c>
      <c r="R80" s="7">
        <f t="shared" si="2"/>
        <v>45716</v>
      </c>
      <c r="S80" s="8">
        <f t="shared" si="3"/>
        <v>371</v>
      </c>
    </row>
    <row r="81" spans="1:19">
      <c r="A81" t="s">
        <v>208</v>
      </c>
      <c r="B81" s="7">
        <v>45501</v>
      </c>
      <c r="C81" t="s">
        <v>88</v>
      </c>
      <c r="D81" t="s">
        <v>89</v>
      </c>
      <c r="E81" t="s">
        <v>119</v>
      </c>
      <c r="F81" t="s">
        <v>120</v>
      </c>
      <c r="G81" t="s">
        <v>21</v>
      </c>
      <c r="H81">
        <v>2</v>
      </c>
      <c r="I81">
        <v>89.99</v>
      </c>
      <c r="J81" t="s">
        <v>36</v>
      </c>
      <c r="K81" t="s">
        <v>37</v>
      </c>
      <c r="L81" t="s">
        <v>24</v>
      </c>
      <c r="M81" s="7">
        <v>44976</v>
      </c>
      <c r="N81">
        <v>179.98</v>
      </c>
      <c r="P81">
        <v>2024</v>
      </c>
      <c r="Q81" t="str">
        <v>July</v>
      </c>
      <c r="R81" s="7">
        <f t="shared" si="2"/>
        <v>45716</v>
      </c>
      <c r="S81" s="8">
        <f t="shared" si="3"/>
        <v>336</v>
      </c>
    </row>
    <row r="82" spans="1:19">
      <c r="A82" t="s">
        <v>209</v>
      </c>
      <c r="B82" s="7">
        <v>45501</v>
      </c>
      <c r="C82" t="s">
        <v>149</v>
      </c>
      <c r="D82" t="s">
        <v>150</v>
      </c>
      <c r="E82" t="s">
        <v>107</v>
      </c>
      <c r="F82" t="s">
        <v>108</v>
      </c>
      <c r="G82" t="s">
        <v>48</v>
      </c>
      <c r="H82">
        <v>3</v>
      </c>
      <c r="I82">
        <v>299.99</v>
      </c>
      <c r="J82" t="s">
        <v>22</v>
      </c>
      <c r="K82" t="s">
        <v>23</v>
      </c>
      <c r="L82" t="s">
        <v>24</v>
      </c>
      <c r="M82" s="7">
        <v>44732</v>
      </c>
      <c r="N82">
        <v>899.97</v>
      </c>
      <c r="P82">
        <v>2024</v>
      </c>
      <c r="Q82" t="str">
        <v>July</v>
      </c>
      <c r="R82" s="7">
        <f t="shared" si="2"/>
        <v>45716</v>
      </c>
      <c r="S82" s="8">
        <f t="shared" si="3"/>
        <v>518</v>
      </c>
    </row>
    <row r="83" spans="1:19">
      <c r="A83" t="s">
        <v>210</v>
      </c>
      <c r="B83" s="7">
        <v>45503</v>
      </c>
      <c r="C83" t="s">
        <v>88</v>
      </c>
      <c r="D83" t="s">
        <v>89</v>
      </c>
      <c r="E83" t="s">
        <v>82</v>
      </c>
      <c r="F83" t="s">
        <v>83</v>
      </c>
      <c r="G83" t="s">
        <v>21</v>
      </c>
      <c r="H83">
        <v>2</v>
      </c>
      <c r="I83">
        <v>699.99</v>
      </c>
      <c r="J83" t="s">
        <v>28</v>
      </c>
      <c r="K83" t="s">
        <v>42</v>
      </c>
      <c r="L83" t="s">
        <v>29</v>
      </c>
      <c r="M83" s="7">
        <v>44999</v>
      </c>
      <c r="N83">
        <v>1399.98</v>
      </c>
      <c r="P83">
        <v>2024</v>
      </c>
      <c r="Q83" t="str">
        <v>July</v>
      </c>
      <c r="R83" s="7">
        <f t="shared" si="2"/>
        <v>45716</v>
      </c>
      <c r="S83" s="8">
        <f t="shared" si="3"/>
        <v>525</v>
      </c>
    </row>
    <row r="84" spans="1:19">
      <c r="A84" t="s">
        <v>211</v>
      </c>
      <c r="B84" s="7">
        <v>45504</v>
      </c>
      <c r="C84" t="s">
        <v>122</v>
      </c>
      <c r="D84" t="s">
        <v>123</v>
      </c>
      <c r="E84" t="s">
        <v>63</v>
      </c>
      <c r="F84" t="s">
        <v>64</v>
      </c>
      <c r="G84" t="s">
        <v>21</v>
      </c>
      <c r="H84">
        <v>4</v>
      </c>
      <c r="I84">
        <v>899.99</v>
      </c>
      <c r="J84" t="s">
        <v>59</v>
      </c>
      <c r="K84" t="s">
        <v>37</v>
      </c>
      <c r="L84" t="s">
        <v>38</v>
      </c>
      <c r="M84" s="7">
        <v>44523</v>
      </c>
      <c r="N84">
        <v>3599.96</v>
      </c>
      <c r="P84">
        <v>2024</v>
      </c>
      <c r="Q84" t="str">
        <v>July</v>
      </c>
      <c r="R84" s="7">
        <f t="shared" si="2"/>
        <v>45716</v>
      </c>
      <c r="S84" s="8">
        <f t="shared" si="3"/>
        <v>769</v>
      </c>
    </row>
    <row r="85" spans="1:19">
      <c r="A85" t="s">
        <v>212</v>
      </c>
      <c r="B85" s="7">
        <v>45509</v>
      </c>
      <c r="C85" t="s">
        <v>213</v>
      </c>
      <c r="D85" t="s">
        <v>214</v>
      </c>
      <c r="E85" t="s">
        <v>46</v>
      </c>
      <c r="F85" t="s">
        <v>47</v>
      </c>
      <c r="G85" t="s">
        <v>48</v>
      </c>
      <c r="H85">
        <v>2</v>
      </c>
      <c r="I85">
        <v>149.99</v>
      </c>
      <c r="J85" t="s">
        <v>28</v>
      </c>
      <c r="K85" t="s">
        <v>52</v>
      </c>
      <c r="L85" t="s">
        <v>24</v>
      </c>
      <c r="M85" s="7">
        <v>44542</v>
      </c>
      <c r="N85">
        <v>299.98</v>
      </c>
      <c r="P85">
        <v>2024</v>
      </c>
      <c r="Q85" t="str">
        <v>July</v>
      </c>
      <c r="R85" s="7">
        <f t="shared" si="2"/>
        <v>45716</v>
      </c>
      <c r="S85" s="8">
        <f t="shared" si="3"/>
        <v>504</v>
      </c>
    </row>
    <row r="86" spans="1:19">
      <c r="A86" t="s">
        <v>215</v>
      </c>
      <c r="B86" s="7">
        <v>45510</v>
      </c>
      <c r="C86" t="s">
        <v>104</v>
      </c>
      <c r="D86" t="s">
        <v>105</v>
      </c>
      <c r="E86" t="s">
        <v>46</v>
      </c>
      <c r="F86" t="s">
        <v>47</v>
      </c>
      <c r="G86" t="s">
        <v>48</v>
      </c>
      <c r="H86">
        <v>2</v>
      </c>
      <c r="I86">
        <v>149.99</v>
      </c>
      <c r="J86" t="s">
        <v>59</v>
      </c>
      <c r="K86" t="s">
        <v>65</v>
      </c>
      <c r="L86" t="s">
        <v>38</v>
      </c>
      <c r="M86" s="7">
        <v>44667</v>
      </c>
      <c r="N86">
        <v>299.98</v>
      </c>
      <c r="P86">
        <v>2024</v>
      </c>
      <c r="Q86" t="str">
        <v>July</v>
      </c>
      <c r="R86" s="7">
        <f t="shared" si="2"/>
        <v>45716</v>
      </c>
      <c r="S86" s="8">
        <f t="shared" si="3"/>
        <v>981</v>
      </c>
    </row>
    <row r="87" spans="1:19">
      <c r="A87" t="s">
        <v>216</v>
      </c>
      <c r="B87" s="7">
        <v>45513</v>
      </c>
      <c r="C87" t="s">
        <v>91</v>
      </c>
      <c r="D87" t="s">
        <v>92</v>
      </c>
      <c r="E87" t="s">
        <v>119</v>
      </c>
      <c r="F87" t="s">
        <v>120</v>
      </c>
      <c r="G87" t="s">
        <v>21</v>
      </c>
      <c r="H87">
        <v>1</v>
      </c>
      <c r="I87">
        <v>89.99</v>
      </c>
      <c r="J87" t="s">
        <v>28</v>
      </c>
      <c r="K87" t="s">
        <v>42</v>
      </c>
      <c r="L87" t="s">
        <v>38</v>
      </c>
      <c r="M87" s="7">
        <v>45393</v>
      </c>
      <c r="N87">
        <v>89.99</v>
      </c>
      <c r="P87">
        <v>2024</v>
      </c>
      <c r="Q87" t="str">
        <v>August</v>
      </c>
      <c r="R87" s="7">
        <f t="shared" si="2"/>
        <v>45777</v>
      </c>
      <c r="S87" s="8">
        <f t="shared" si="3"/>
        <v>967</v>
      </c>
    </row>
    <row r="88" spans="1:19">
      <c r="A88" t="s">
        <v>217</v>
      </c>
      <c r="B88" s="7">
        <v>45515</v>
      </c>
      <c r="C88" t="s">
        <v>88</v>
      </c>
      <c r="D88" t="s">
        <v>89</v>
      </c>
      <c r="E88" t="s">
        <v>107</v>
      </c>
      <c r="F88" t="s">
        <v>108</v>
      </c>
      <c r="G88" t="s">
        <v>48</v>
      </c>
      <c r="H88">
        <v>5</v>
      </c>
      <c r="I88">
        <v>299.99</v>
      </c>
      <c r="J88" t="s">
        <v>28</v>
      </c>
      <c r="K88" t="s">
        <v>42</v>
      </c>
      <c r="L88" t="s">
        <v>24</v>
      </c>
      <c r="M88" s="7">
        <v>44965</v>
      </c>
      <c r="N88">
        <v>1499.95</v>
      </c>
      <c r="P88">
        <v>2024</v>
      </c>
      <c r="Q88" t="str">
        <v>August</v>
      </c>
      <c r="R88" s="7">
        <f t="shared" si="2"/>
        <v>45777</v>
      </c>
      <c r="S88" s="8">
        <f t="shared" si="3"/>
        <v>843</v>
      </c>
    </row>
    <row r="89" spans="1:19">
      <c r="A89" t="s">
        <v>218</v>
      </c>
      <c r="B89" s="7">
        <v>45517</v>
      </c>
      <c r="C89" t="s">
        <v>184</v>
      </c>
      <c r="D89" t="s">
        <v>185</v>
      </c>
      <c r="E89" t="s">
        <v>54</v>
      </c>
      <c r="F89" t="s">
        <v>55</v>
      </c>
      <c r="G89" t="s">
        <v>21</v>
      </c>
      <c r="H89">
        <v>4</v>
      </c>
      <c r="I89">
        <v>149.99</v>
      </c>
      <c r="J89" t="s">
        <v>59</v>
      </c>
      <c r="K89" t="s">
        <v>37</v>
      </c>
      <c r="L89" t="s">
        <v>29</v>
      </c>
      <c r="M89" s="7">
        <v>44820</v>
      </c>
      <c r="N89">
        <v>599.96</v>
      </c>
      <c r="P89">
        <v>2024</v>
      </c>
      <c r="Q89" t="str">
        <v>August</v>
      </c>
      <c r="R89" s="7">
        <f t="shared" si="2"/>
        <v>45777</v>
      </c>
      <c r="S89" s="8">
        <f t="shared" si="3"/>
        <v>120</v>
      </c>
    </row>
    <row r="90" spans="1:19">
      <c r="A90" t="s">
        <v>219</v>
      </c>
      <c r="B90" s="7">
        <v>45517</v>
      </c>
      <c r="C90" t="s">
        <v>187</v>
      </c>
      <c r="D90" t="s">
        <v>188</v>
      </c>
      <c r="E90" t="s">
        <v>19</v>
      </c>
      <c r="F90" t="s">
        <v>20</v>
      </c>
      <c r="G90" t="s">
        <v>21</v>
      </c>
      <c r="H90">
        <v>5</v>
      </c>
      <c r="I90">
        <v>249.99</v>
      </c>
      <c r="J90" t="s">
        <v>36</v>
      </c>
      <c r="K90" t="s">
        <v>65</v>
      </c>
      <c r="L90" t="s">
        <v>29</v>
      </c>
      <c r="M90" s="7">
        <v>44782</v>
      </c>
      <c r="N90">
        <v>1249.95</v>
      </c>
      <c r="P90">
        <v>2024</v>
      </c>
      <c r="Q90" t="str">
        <v>August</v>
      </c>
      <c r="R90" s="7">
        <f t="shared" si="2"/>
        <v>45777</v>
      </c>
      <c r="S90" s="8">
        <f t="shared" si="3"/>
        <v>550</v>
      </c>
    </row>
    <row r="91" spans="1:19">
      <c r="A91" t="s">
        <v>220</v>
      </c>
      <c r="B91" s="7">
        <v>45517</v>
      </c>
      <c r="C91" t="s">
        <v>67</v>
      </c>
      <c r="D91" t="s">
        <v>68</v>
      </c>
      <c r="E91" t="s">
        <v>19</v>
      </c>
      <c r="F91" t="s">
        <v>20</v>
      </c>
      <c r="G91" t="s">
        <v>21</v>
      </c>
      <c r="H91">
        <v>3</v>
      </c>
      <c r="I91">
        <v>249.99</v>
      </c>
      <c r="J91" t="s">
        <v>36</v>
      </c>
      <c r="K91" t="s">
        <v>42</v>
      </c>
      <c r="L91" t="s">
        <v>29</v>
      </c>
      <c r="M91" s="7">
        <v>44465</v>
      </c>
      <c r="N91">
        <v>749.97</v>
      </c>
      <c r="P91">
        <v>2024</v>
      </c>
      <c r="Q91" t="str">
        <v>August</v>
      </c>
      <c r="R91" s="7">
        <f t="shared" si="2"/>
        <v>45777</v>
      </c>
      <c r="S91" s="8">
        <f t="shared" si="3"/>
        <v>697</v>
      </c>
    </row>
    <row r="92" spans="1:19">
      <c r="A92" t="s">
        <v>221</v>
      </c>
      <c r="B92" s="7">
        <v>45517</v>
      </c>
      <c r="C92" t="s">
        <v>40</v>
      </c>
      <c r="D92" t="s">
        <v>41</v>
      </c>
      <c r="E92" t="s">
        <v>128</v>
      </c>
      <c r="F92" t="s">
        <v>129</v>
      </c>
      <c r="G92" t="s">
        <v>48</v>
      </c>
      <c r="H92">
        <v>4</v>
      </c>
      <c r="I92">
        <v>199.99</v>
      </c>
      <c r="J92" t="s">
        <v>22</v>
      </c>
      <c r="K92" t="s">
        <v>42</v>
      </c>
      <c r="L92" t="s">
        <v>38</v>
      </c>
      <c r="M92" s="7">
        <v>44458</v>
      </c>
      <c r="N92">
        <v>799.96</v>
      </c>
      <c r="P92">
        <v>2024</v>
      </c>
      <c r="Q92" t="str">
        <v>August</v>
      </c>
      <c r="R92" s="7">
        <f t="shared" si="2"/>
        <v>45777</v>
      </c>
      <c r="S92" s="8">
        <f t="shared" si="3"/>
        <v>735</v>
      </c>
    </row>
    <row r="93" spans="1:19">
      <c r="A93" t="s">
        <v>222</v>
      </c>
      <c r="B93" s="7">
        <v>45519</v>
      </c>
      <c r="C93" t="s">
        <v>160</v>
      </c>
      <c r="D93" t="s">
        <v>161</v>
      </c>
      <c r="E93" t="s">
        <v>128</v>
      </c>
      <c r="F93" t="s">
        <v>129</v>
      </c>
      <c r="G93" t="s">
        <v>48</v>
      </c>
      <c r="H93">
        <v>5</v>
      </c>
      <c r="I93">
        <v>199.99</v>
      </c>
      <c r="J93" t="s">
        <v>22</v>
      </c>
      <c r="K93" t="s">
        <v>42</v>
      </c>
      <c r="L93" t="s">
        <v>29</v>
      </c>
      <c r="M93" s="7">
        <v>44991</v>
      </c>
      <c r="N93">
        <v>999.95</v>
      </c>
      <c r="P93">
        <v>2024</v>
      </c>
      <c r="Q93" t="str">
        <v>August</v>
      </c>
      <c r="R93" s="7">
        <f t="shared" si="2"/>
        <v>45777</v>
      </c>
      <c r="S93" s="8">
        <f t="shared" si="3"/>
        <v>1052</v>
      </c>
    </row>
    <row r="94" spans="1:19">
      <c r="A94" t="s">
        <v>223</v>
      </c>
      <c r="B94" s="7">
        <v>45522</v>
      </c>
      <c r="C94" t="s">
        <v>88</v>
      </c>
      <c r="D94" t="s">
        <v>89</v>
      </c>
      <c r="E94" t="s">
        <v>119</v>
      </c>
      <c r="F94" t="s">
        <v>120</v>
      </c>
      <c r="G94" t="s">
        <v>21</v>
      </c>
      <c r="H94">
        <v>2</v>
      </c>
      <c r="I94">
        <v>89.99</v>
      </c>
      <c r="J94" t="s">
        <v>22</v>
      </c>
      <c r="K94" t="s">
        <v>65</v>
      </c>
      <c r="L94" t="s">
        <v>29</v>
      </c>
      <c r="M94" s="7">
        <v>44972</v>
      </c>
      <c r="N94">
        <v>179.98</v>
      </c>
      <c r="P94">
        <v>2024</v>
      </c>
      <c r="Q94" t="str">
        <v>August</v>
      </c>
      <c r="R94" s="7">
        <f t="shared" si="2"/>
        <v>45777</v>
      </c>
      <c r="S94" s="8">
        <f t="shared" si="3"/>
        <v>1059</v>
      </c>
    </row>
    <row r="95" spans="1:19">
      <c r="A95" t="s">
        <v>224</v>
      </c>
      <c r="B95" s="7">
        <v>45523</v>
      </c>
      <c r="C95" t="s">
        <v>198</v>
      </c>
      <c r="D95" t="s">
        <v>199</v>
      </c>
      <c r="E95" t="s">
        <v>63</v>
      </c>
      <c r="F95" t="s">
        <v>64</v>
      </c>
      <c r="G95" t="s">
        <v>21</v>
      </c>
      <c r="H95">
        <v>5</v>
      </c>
      <c r="I95">
        <v>899.99</v>
      </c>
      <c r="J95" t="s">
        <v>59</v>
      </c>
      <c r="K95" t="s">
        <v>65</v>
      </c>
      <c r="L95" t="s">
        <v>24</v>
      </c>
      <c r="M95" s="7">
        <v>44526</v>
      </c>
      <c r="N95">
        <v>4499.95</v>
      </c>
      <c r="P95">
        <v>2024</v>
      </c>
      <c r="Q95" t="str">
        <v>August</v>
      </c>
      <c r="R95" s="7">
        <f t="shared" si="2"/>
        <v>45777</v>
      </c>
      <c r="S95" s="8">
        <f t="shared" si="3"/>
        <v>528</v>
      </c>
    </row>
    <row r="96" spans="1:19">
      <c r="A96" t="s">
        <v>225</v>
      </c>
      <c r="B96" s="7">
        <v>45523</v>
      </c>
      <c r="C96" t="s">
        <v>110</v>
      </c>
      <c r="D96" t="s">
        <v>111</v>
      </c>
      <c r="E96" t="s">
        <v>54</v>
      </c>
      <c r="F96" t="s">
        <v>55</v>
      </c>
      <c r="G96" t="s">
        <v>21</v>
      </c>
      <c r="H96">
        <v>3</v>
      </c>
      <c r="I96">
        <v>149.99</v>
      </c>
      <c r="J96" t="s">
        <v>36</v>
      </c>
      <c r="K96" t="s">
        <v>65</v>
      </c>
      <c r="L96" t="s">
        <v>24</v>
      </c>
      <c r="M96" s="7">
        <v>44574</v>
      </c>
      <c r="N96">
        <v>449.97</v>
      </c>
      <c r="P96">
        <v>2024</v>
      </c>
      <c r="Q96" t="str">
        <v>August</v>
      </c>
      <c r="R96" s="7">
        <f t="shared" si="2"/>
        <v>45777</v>
      </c>
      <c r="S96" s="8">
        <f t="shared" si="3"/>
        <v>550</v>
      </c>
    </row>
    <row r="97" spans="1:19">
      <c r="A97" t="s">
        <v>226</v>
      </c>
      <c r="B97" s="7">
        <v>45526</v>
      </c>
      <c r="C97" t="s">
        <v>104</v>
      </c>
      <c r="D97" t="s">
        <v>105</v>
      </c>
      <c r="E97" t="s">
        <v>46</v>
      </c>
      <c r="F97" t="s">
        <v>47</v>
      </c>
      <c r="G97" t="s">
        <v>48</v>
      </c>
      <c r="H97">
        <v>5</v>
      </c>
      <c r="I97">
        <v>149.99</v>
      </c>
      <c r="J97" t="s">
        <v>28</v>
      </c>
      <c r="K97" t="s">
        <v>23</v>
      </c>
      <c r="L97" t="s">
        <v>24</v>
      </c>
      <c r="M97" s="7">
        <v>45310</v>
      </c>
      <c r="N97">
        <v>749.95</v>
      </c>
      <c r="P97">
        <v>2024</v>
      </c>
      <c r="Q97" t="str">
        <v>August</v>
      </c>
      <c r="R97" s="7">
        <f t="shared" si="2"/>
        <v>45777</v>
      </c>
      <c r="S97" s="8">
        <f t="shared" si="3"/>
        <v>997</v>
      </c>
    </row>
    <row r="98" spans="1:19">
      <c r="A98" t="s">
        <v>227</v>
      </c>
      <c r="B98" s="7">
        <v>45528</v>
      </c>
      <c r="C98" t="s">
        <v>228</v>
      </c>
      <c r="D98" t="s">
        <v>229</v>
      </c>
      <c r="E98" t="s">
        <v>116</v>
      </c>
      <c r="F98" t="s">
        <v>117</v>
      </c>
      <c r="G98" t="s">
        <v>35</v>
      </c>
      <c r="H98">
        <v>3</v>
      </c>
      <c r="I98">
        <v>79.989999999999995</v>
      </c>
      <c r="J98" t="s">
        <v>22</v>
      </c>
      <c r="K98" t="s">
        <v>23</v>
      </c>
      <c r="L98" t="s">
        <v>29</v>
      </c>
      <c r="M98" s="7">
        <v>44779</v>
      </c>
      <c r="N98">
        <v>239.97</v>
      </c>
      <c r="P98">
        <v>2024</v>
      </c>
      <c r="Q98" t="str">
        <v>August</v>
      </c>
      <c r="R98" s="7">
        <f t="shared" si="2"/>
        <v>45777</v>
      </c>
      <c r="S98" s="8">
        <f t="shared" si="3"/>
        <v>949</v>
      </c>
    </row>
    <row r="99" spans="1:19">
      <c r="A99" t="s">
        <v>230</v>
      </c>
      <c r="B99" s="7">
        <v>45528</v>
      </c>
      <c r="C99" t="s">
        <v>146</v>
      </c>
      <c r="D99" t="s">
        <v>147</v>
      </c>
      <c r="E99" t="s">
        <v>19</v>
      </c>
      <c r="F99" t="s">
        <v>20</v>
      </c>
      <c r="G99" t="s">
        <v>21</v>
      </c>
      <c r="H99">
        <v>2</v>
      </c>
      <c r="I99">
        <v>249.99</v>
      </c>
      <c r="J99" t="s">
        <v>22</v>
      </c>
      <c r="K99" t="s">
        <v>37</v>
      </c>
      <c r="L99" t="s">
        <v>38</v>
      </c>
      <c r="M99" s="7">
        <v>44572</v>
      </c>
      <c r="N99">
        <v>499.98</v>
      </c>
      <c r="P99">
        <v>2024</v>
      </c>
      <c r="Q99" t="str">
        <v>August</v>
      </c>
      <c r="R99" s="7">
        <f t="shared" si="2"/>
        <v>45777</v>
      </c>
      <c r="S99" s="8">
        <f t="shared" si="3"/>
        <v>216</v>
      </c>
    </row>
    <row r="100" spans="1:19">
      <c r="A100" t="s">
        <v>231</v>
      </c>
      <c r="B100" s="7">
        <v>45532</v>
      </c>
      <c r="C100" t="s">
        <v>198</v>
      </c>
      <c r="D100" t="s">
        <v>199</v>
      </c>
      <c r="E100" t="s">
        <v>82</v>
      </c>
      <c r="F100" t="s">
        <v>83</v>
      </c>
      <c r="G100" t="s">
        <v>21</v>
      </c>
      <c r="H100">
        <v>1</v>
      </c>
      <c r="I100">
        <v>699.99</v>
      </c>
      <c r="J100" t="s">
        <v>22</v>
      </c>
      <c r="K100" t="s">
        <v>23</v>
      </c>
      <c r="L100" t="s">
        <v>29</v>
      </c>
      <c r="M100" s="7">
        <v>44497</v>
      </c>
      <c r="N100">
        <v>699.99</v>
      </c>
      <c r="P100">
        <v>2024</v>
      </c>
      <c r="Q100" t="str">
        <v>August</v>
      </c>
      <c r="R100" s="7">
        <f t="shared" si="2"/>
        <v>45777</v>
      </c>
      <c r="S100" s="8">
        <f t="shared" si="3"/>
        <v>749</v>
      </c>
    </row>
    <row r="101" spans="1:19">
      <c r="A101" t="s">
        <v>232</v>
      </c>
      <c r="B101" s="7">
        <v>45532</v>
      </c>
      <c r="C101" t="s">
        <v>233</v>
      </c>
      <c r="D101" t="s">
        <v>234</v>
      </c>
      <c r="E101" t="s">
        <v>54</v>
      </c>
      <c r="F101" t="s">
        <v>55</v>
      </c>
      <c r="G101" t="s">
        <v>21</v>
      </c>
      <c r="H101">
        <v>3</v>
      </c>
      <c r="I101">
        <v>149.99</v>
      </c>
      <c r="J101" t="s">
        <v>22</v>
      </c>
      <c r="K101" t="s">
        <v>52</v>
      </c>
      <c r="L101" t="s">
        <v>29</v>
      </c>
      <c r="M101" s="7">
        <v>45212</v>
      </c>
      <c r="N101">
        <v>449.97</v>
      </c>
      <c r="P101">
        <v>2024</v>
      </c>
      <c r="Q101" t="str">
        <v>August</v>
      </c>
      <c r="R101" s="7">
        <f t="shared" si="2"/>
        <v>45777</v>
      </c>
      <c r="S101" s="8">
        <f t="shared" si="3"/>
        <v>956</v>
      </c>
    </row>
    <row r="102" spans="1:19">
      <c r="A102" t="s">
        <v>235</v>
      </c>
      <c r="B102" s="7">
        <v>45534</v>
      </c>
      <c r="C102" t="s">
        <v>236</v>
      </c>
      <c r="D102" t="s">
        <v>237</v>
      </c>
      <c r="E102" t="s">
        <v>82</v>
      </c>
      <c r="F102" t="s">
        <v>83</v>
      </c>
      <c r="G102" t="s">
        <v>21</v>
      </c>
      <c r="H102">
        <v>2</v>
      </c>
      <c r="I102">
        <v>699.99</v>
      </c>
      <c r="J102" t="s">
        <v>28</v>
      </c>
      <c r="K102" t="s">
        <v>42</v>
      </c>
      <c r="L102" t="s">
        <v>29</v>
      </c>
      <c r="M102" s="7">
        <v>44421</v>
      </c>
      <c r="N102">
        <v>1399.98</v>
      </c>
      <c r="P102">
        <v>2024</v>
      </c>
      <c r="Q102" t="str">
        <v>August</v>
      </c>
      <c r="R102" s="7">
        <f t="shared" si="2"/>
        <v>45777</v>
      </c>
      <c r="S102" s="8">
        <f t="shared" si="3"/>
        <v>1035</v>
      </c>
    </row>
    <row r="103" spans="1:19">
      <c r="A103" t="s">
        <v>238</v>
      </c>
      <c r="B103" s="7">
        <v>45537</v>
      </c>
      <c r="C103" t="s">
        <v>233</v>
      </c>
      <c r="D103" t="s">
        <v>234</v>
      </c>
      <c r="E103" t="s">
        <v>19</v>
      </c>
      <c r="F103" t="s">
        <v>20</v>
      </c>
      <c r="G103" t="s">
        <v>21</v>
      </c>
      <c r="H103">
        <v>1</v>
      </c>
      <c r="I103">
        <v>249.99</v>
      </c>
      <c r="J103" t="s">
        <v>28</v>
      </c>
      <c r="K103" t="s">
        <v>52</v>
      </c>
      <c r="L103" t="s">
        <v>29</v>
      </c>
      <c r="M103" s="7">
        <v>44685</v>
      </c>
      <c r="N103">
        <v>249.99</v>
      </c>
      <c r="P103">
        <v>2024</v>
      </c>
      <c r="Q103" t="str">
        <v>August</v>
      </c>
      <c r="R103" s="7">
        <f t="shared" si="2"/>
        <v>45777</v>
      </c>
      <c r="S103" s="8">
        <f t="shared" si="3"/>
        <v>320</v>
      </c>
    </row>
    <row r="104" spans="1:19">
      <c r="A104" t="s">
        <v>239</v>
      </c>
      <c r="B104" s="7">
        <v>45537</v>
      </c>
      <c r="C104" t="s">
        <v>17</v>
      </c>
      <c r="D104" t="s">
        <v>18</v>
      </c>
      <c r="E104" t="s">
        <v>19</v>
      </c>
      <c r="F104" t="s">
        <v>20</v>
      </c>
      <c r="G104" t="s">
        <v>21</v>
      </c>
      <c r="H104">
        <v>1</v>
      </c>
      <c r="I104">
        <v>249.99</v>
      </c>
      <c r="J104" t="s">
        <v>59</v>
      </c>
      <c r="K104" t="s">
        <v>42</v>
      </c>
      <c r="L104" t="s">
        <v>29</v>
      </c>
      <c r="M104" s="7">
        <v>45332</v>
      </c>
      <c r="N104">
        <v>249.99</v>
      </c>
      <c r="P104">
        <v>2024</v>
      </c>
      <c r="Q104" t="str">
        <v>August</v>
      </c>
      <c r="R104" s="7">
        <f t="shared" si="2"/>
        <v>45777</v>
      </c>
      <c r="S104" s="8">
        <f t="shared" si="3"/>
        <v>1113</v>
      </c>
    </row>
    <row r="105" spans="1:19">
      <c r="A105" t="s">
        <v>240</v>
      </c>
      <c r="B105" s="7">
        <v>45538</v>
      </c>
      <c r="C105" t="s">
        <v>228</v>
      </c>
      <c r="D105" t="s">
        <v>229</v>
      </c>
      <c r="E105" t="s">
        <v>82</v>
      </c>
      <c r="F105" t="s">
        <v>83</v>
      </c>
      <c r="G105" t="s">
        <v>21</v>
      </c>
      <c r="H105">
        <v>2</v>
      </c>
      <c r="I105">
        <v>699.99</v>
      </c>
      <c r="J105" t="s">
        <v>59</v>
      </c>
      <c r="K105" t="s">
        <v>23</v>
      </c>
      <c r="L105" t="s">
        <v>29</v>
      </c>
      <c r="M105" s="7">
        <v>44870</v>
      </c>
      <c r="N105">
        <v>1399.98</v>
      </c>
      <c r="P105">
        <v>2024</v>
      </c>
      <c r="Q105" t="str">
        <v>September</v>
      </c>
      <c r="R105" s="7">
        <f t="shared" si="2"/>
        <v>45838</v>
      </c>
      <c r="S105" s="8">
        <f t="shared" si="3"/>
        <v>852</v>
      </c>
    </row>
    <row r="106" spans="1:19">
      <c r="A106" t="s">
        <v>241</v>
      </c>
      <c r="B106" s="7">
        <v>45541</v>
      </c>
      <c r="C106" t="s">
        <v>140</v>
      </c>
      <c r="D106" t="s">
        <v>141</v>
      </c>
      <c r="E106" t="s">
        <v>33</v>
      </c>
      <c r="F106" t="s">
        <v>34</v>
      </c>
      <c r="G106" t="s">
        <v>35</v>
      </c>
      <c r="H106">
        <v>3</v>
      </c>
      <c r="I106">
        <v>59.99</v>
      </c>
      <c r="J106" t="s">
        <v>28</v>
      </c>
      <c r="K106" t="s">
        <v>23</v>
      </c>
      <c r="L106" t="s">
        <v>29</v>
      </c>
      <c r="M106" s="7">
        <v>44717</v>
      </c>
      <c r="N106">
        <v>179.97</v>
      </c>
      <c r="P106">
        <v>2024</v>
      </c>
      <c r="Q106" t="str">
        <v>September</v>
      </c>
      <c r="R106" s="7">
        <f t="shared" si="2"/>
        <v>45838</v>
      </c>
      <c r="S106" s="8">
        <f t="shared" si="3"/>
        <v>205</v>
      </c>
    </row>
    <row r="107" spans="1:19">
      <c r="A107" t="s">
        <v>242</v>
      </c>
      <c r="B107" s="7">
        <v>45544</v>
      </c>
      <c r="C107" t="s">
        <v>134</v>
      </c>
      <c r="D107" t="s">
        <v>135</v>
      </c>
      <c r="E107" t="s">
        <v>33</v>
      </c>
      <c r="F107" t="s">
        <v>34</v>
      </c>
      <c r="G107" t="s">
        <v>35</v>
      </c>
      <c r="H107">
        <v>3</v>
      </c>
      <c r="I107">
        <v>59.99</v>
      </c>
      <c r="J107" t="s">
        <v>36</v>
      </c>
      <c r="K107" t="s">
        <v>65</v>
      </c>
      <c r="L107" t="s">
        <v>38</v>
      </c>
      <c r="M107" s="7">
        <v>44748</v>
      </c>
      <c r="N107">
        <v>179.97</v>
      </c>
      <c r="P107">
        <v>2024</v>
      </c>
      <c r="Q107" t="str">
        <v>September</v>
      </c>
      <c r="R107" s="7">
        <f t="shared" si="2"/>
        <v>45838</v>
      </c>
      <c r="S107" s="8">
        <f t="shared" si="3"/>
        <v>668</v>
      </c>
    </row>
    <row r="108" spans="1:19">
      <c r="A108" t="s">
        <v>243</v>
      </c>
      <c r="B108" s="7">
        <v>45544</v>
      </c>
      <c r="C108" t="s">
        <v>143</v>
      </c>
      <c r="D108" t="s">
        <v>144</v>
      </c>
      <c r="E108" t="s">
        <v>116</v>
      </c>
      <c r="F108" t="s">
        <v>117</v>
      </c>
      <c r="G108" t="s">
        <v>35</v>
      </c>
      <c r="H108">
        <v>4</v>
      </c>
      <c r="I108">
        <v>79.989999999999995</v>
      </c>
      <c r="J108" t="s">
        <v>22</v>
      </c>
      <c r="K108" t="s">
        <v>42</v>
      </c>
      <c r="L108" t="s">
        <v>24</v>
      </c>
      <c r="M108" s="7">
        <v>44530</v>
      </c>
      <c r="N108">
        <v>319.95999999999998</v>
      </c>
      <c r="P108">
        <v>2024</v>
      </c>
      <c r="Q108" t="str">
        <v>September</v>
      </c>
      <c r="R108" s="7">
        <f t="shared" si="2"/>
        <v>45838</v>
      </c>
      <c r="S108" s="8">
        <f t="shared" si="3"/>
        <v>824</v>
      </c>
    </row>
    <row r="109" spans="1:19">
      <c r="A109" t="s">
        <v>244</v>
      </c>
      <c r="B109" s="7">
        <v>45545</v>
      </c>
      <c r="C109" t="s">
        <v>57</v>
      </c>
      <c r="D109" t="s">
        <v>58</v>
      </c>
      <c r="E109" t="s">
        <v>116</v>
      </c>
      <c r="F109" t="s">
        <v>117</v>
      </c>
      <c r="G109" t="s">
        <v>35</v>
      </c>
      <c r="H109">
        <v>1</v>
      </c>
      <c r="I109">
        <v>79.989999999999995</v>
      </c>
      <c r="J109" t="s">
        <v>22</v>
      </c>
      <c r="K109" t="s">
        <v>52</v>
      </c>
      <c r="L109" t="s">
        <v>24</v>
      </c>
      <c r="M109" s="7">
        <v>44693</v>
      </c>
      <c r="N109">
        <v>79.989999999999995</v>
      </c>
      <c r="P109">
        <v>2024</v>
      </c>
      <c r="Q109" t="str">
        <v>September</v>
      </c>
      <c r="R109" s="7">
        <f t="shared" si="2"/>
        <v>45838</v>
      </c>
      <c r="S109" s="8">
        <f t="shared" si="3"/>
        <v>796</v>
      </c>
    </row>
    <row r="110" spans="1:19">
      <c r="A110" t="s">
        <v>245</v>
      </c>
      <c r="B110" s="7">
        <v>45547</v>
      </c>
      <c r="C110" t="s">
        <v>50</v>
      </c>
      <c r="D110" t="s">
        <v>51</v>
      </c>
      <c r="E110" t="s">
        <v>107</v>
      </c>
      <c r="F110" t="s">
        <v>108</v>
      </c>
      <c r="G110" t="s">
        <v>48</v>
      </c>
      <c r="H110">
        <v>3</v>
      </c>
      <c r="I110">
        <v>299.99</v>
      </c>
      <c r="J110" t="s">
        <v>28</v>
      </c>
      <c r="K110" t="s">
        <v>23</v>
      </c>
      <c r="L110" t="s">
        <v>29</v>
      </c>
      <c r="M110" s="7">
        <v>44494</v>
      </c>
      <c r="N110">
        <v>899.97</v>
      </c>
      <c r="P110">
        <v>2024</v>
      </c>
      <c r="Q110" t="str">
        <v>September</v>
      </c>
      <c r="R110" s="7">
        <f t="shared" si="2"/>
        <v>45838</v>
      </c>
      <c r="S110" s="8">
        <f t="shared" si="3"/>
        <v>1014</v>
      </c>
    </row>
    <row r="111" spans="1:19">
      <c r="A111" t="s">
        <v>246</v>
      </c>
      <c r="B111" s="7">
        <v>45548</v>
      </c>
      <c r="C111" t="s">
        <v>40</v>
      </c>
      <c r="D111" t="s">
        <v>41</v>
      </c>
      <c r="E111" t="s">
        <v>119</v>
      </c>
      <c r="F111" t="s">
        <v>120</v>
      </c>
      <c r="G111" t="s">
        <v>21</v>
      </c>
      <c r="H111">
        <v>2</v>
      </c>
      <c r="I111">
        <v>89.99</v>
      </c>
      <c r="J111" t="s">
        <v>28</v>
      </c>
      <c r="K111" t="s">
        <v>37</v>
      </c>
      <c r="L111" t="s">
        <v>29</v>
      </c>
      <c r="M111" s="7">
        <v>44641</v>
      </c>
      <c r="N111">
        <v>179.98</v>
      </c>
      <c r="P111">
        <v>2024</v>
      </c>
      <c r="Q111" t="str">
        <v>September</v>
      </c>
      <c r="R111" s="7">
        <f t="shared" si="2"/>
        <v>45838</v>
      </c>
      <c r="S111" s="8">
        <f t="shared" si="3"/>
        <v>852</v>
      </c>
    </row>
    <row r="112" spans="1:19">
      <c r="A112" t="s">
        <v>247</v>
      </c>
      <c r="B112" s="7">
        <v>45550</v>
      </c>
      <c r="C112" t="s">
        <v>248</v>
      </c>
      <c r="D112" t="s">
        <v>249</v>
      </c>
      <c r="E112" t="s">
        <v>54</v>
      </c>
      <c r="F112" t="s">
        <v>55</v>
      </c>
      <c r="G112" t="s">
        <v>21</v>
      </c>
      <c r="H112">
        <v>4</v>
      </c>
      <c r="I112">
        <v>149.99</v>
      </c>
      <c r="J112" t="s">
        <v>22</v>
      </c>
      <c r="K112" t="s">
        <v>42</v>
      </c>
      <c r="L112" t="s">
        <v>24</v>
      </c>
      <c r="M112" s="7">
        <v>44909</v>
      </c>
      <c r="N112">
        <v>599.96</v>
      </c>
      <c r="P112">
        <v>2024</v>
      </c>
      <c r="Q112" t="str">
        <v>September</v>
      </c>
      <c r="R112" s="7">
        <f t="shared" si="2"/>
        <v>45838</v>
      </c>
      <c r="S112" s="8">
        <f t="shared" si="3"/>
        <v>1053</v>
      </c>
    </row>
    <row r="113" spans="1:19">
      <c r="A113" t="s">
        <v>250</v>
      </c>
      <c r="B113" s="7">
        <v>45551</v>
      </c>
      <c r="C113" t="s">
        <v>67</v>
      </c>
      <c r="D113" t="s">
        <v>68</v>
      </c>
      <c r="E113" t="s">
        <v>19</v>
      </c>
      <c r="F113" t="s">
        <v>20</v>
      </c>
      <c r="G113" t="s">
        <v>21</v>
      </c>
      <c r="H113">
        <v>2</v>
      </c>
      <c r="I113">
        <v>249.99</v>
      </c>
      <c r="J113" t="s">
        <v>36</v>
      </c>
      <c r="K113" t="s">
        <v>37</v>
      </c>
      <c r="L113" t="s">
        <v>24</v>
      </c>
      <c r="M113" s="7">
        <v>44993</v>
      </c>
      <c r="N113">
        <v>499.98</v>
      </c>
      <c r="P113">
        <v>2024</v>
      </c>
      <c r="Q113" t="str">
        <v>September</v>
      </c>
      <c r="R113" s="7">
        <f t="shared" si="2"/>
        <v>45838</v>
      </c>
      <c r="S113" s="8">
        <f t="shared" si="3"/>
        <v>907</v>
      </c>
    </row>
    <row r="114" spans="1:19">
      <c r="A114" t="s">
        <v>251</v>
      </c>
      <c r="B114" s="7">
        <v>45551</v>
      </c>
      <c r="C114" t="s">
        <v>156</v>
      </c>
      <c r="D114" t="s">
        <v>157</v>
      </c>
      <c r="E114" t="s">
        <v>128</v>
      </c>
      <c r="F114" t="s">
        <v>129</v>
      </c>
      <c r="G114" t="s">
        <v>48</v>
      </c>
      <c r="H114">
        <v>4</v>
      </c>
      <c r="I114">
        <v>199.99</v>
      </c>
      <c r="J114" t="s">
        <v>59</v>
      </c>
      <c r="K114" t="s">
        <v>65</v>
      </c>
      <c r="L114" t="s">
        <v>24</v>
      </c>
      <c r="M114" s="7">
        <v>44458</v>
      </c>
      <c r="N114">
        <v>799.96</v>
      </c>
      <c r="P114">
        <v>2024</v>
      </c>
      <c r="Q114" t="str">
        <v>September</v>
      </c>
      <c r="R114" s="7">
        <f t="shared" si="2"/>
        <v>45838</v>
      </c>
      <c r="S114" s="8">
        <f t="shared" si="3"/>
        <v>641</v>
      </c>
    </row>
    <row r="115" spans="1:19">
      <c r="A115" t="s">
        <v>252</v>
      </c>
      <c r="B115" s="7">
        <v>45554</v>
      </c>
      <c r="C115" t="s">
        <v>149</v>
      </c>
      <c r="D115" t="s">
        <v>150</v>
      </c>
      <c r="E115" t="s">
        <v>119</v>
      </c>
      <c r="F115" t="s">
        <v>120</v>
      </c>
      <c r="G115" t="s">
        <v>21</v>
      </c>
      <c r="H115">
        <v>5</v>
      </c>
      <c r="I115">
        <v>89.99</v>
      </c>
      <c r="J115" t="s">
        <v>28</v>
      </c>
      <c r="K115" t="s">
        <v>65</v>
      </c>
      <c r="L115" t="s">
        <v>29</v>
      </c>
      <c r="M115" s="7">
        <v>44446</v>
      </c>
      <c r="N115">
        <v>449.95</v>
      </c>
      <c r="P115">
        <v>2024</v>
      </c>
      <c r="Q115" t="str">
        <v>September</v>
      </c>
      <c r="R115" s="7">
        <f t="shared" si="2"/>
        <v>45838</v>
      </c>
      <c r="S115" s="8">
        <f t="shared" si="3"/>
        <v>558</v>
      </c>
    </row>
    <row r="116" spans="1:19">
      <c r="A116" t="s">
        <v>253</v>
      </c>
      <c r="B116" s="7">
        <v>45554</v>
      </c>
      <c r="C116" t="s">
        <v>254</v>
      </c>
      <c r="D116" t="s">
        <v>255</v>
      </c>
      <c r="E116" t="s">
        <v>54</v>
      </c>
      <c r="F116" t="s">
        <v>55</v>
      </c>
      <c r="G116" t="s">
        <v>21</v>
      </c>
      <c r="H116">
        <v>1</v>
      </c>
      <c r="I116">
        <v>149.99</v>
      </c>
      <c r="J116" t="s">
        <v>36</v>
      </c>
      <c r="K116" t="s">
        <v>65</v>
      </c>
      <c r="L116" t="s">
        <v>38</v>
      </c>
      <c r="M116" s="7">
        <v>44482</v>
      </c>
      <c r="N116">
        <v>149.99</v>
      </c>
      <c r="P116">
        <v>2024</v>
      </c>
      <c r="Q116" t="str">
        <v>September</v>
      </c>
      <c r="R116" s="7">
        <f t="shared" si="2"/>
        <v>45838</v>
      </c>
      <c r="S116" s="8">
        <f t="shared" si="3"/>
        <v>1093</v>
      </c>
    </row>
    <row r="117" spans="1:19">
      <c r="A117" t="s">
        <v>256</v>
      </c>
      <c r="B117" s="7">
        <v>45554</v>
      </c>
      <c r="C117" t="s">
        <v>74</v>
      </c>
      <c r="D117" t="s">
        <v>75</v>
      </c>
      <c r="E117" t="s">
        <v>82</v>
      </c>
      <c r="F117" t="s">
        <v>83</v>
      </c>
      <c r="G117" t="s">
        <v>21</v>
      </c>
      <c r="H117">
        <v>4</v>
      </c>
      <c r="I117">
        <v>699.99</v>
      </c>
      <c r="J117" t="s">
        <v>36</v>
      </c>
      <c r="K117" t="s">
        <v>37</v>
      </c>
      <c r="L117" t="s">
        <v>24</v>
      </c>
      <c r="M117" s="7">
        <v>44618</v>
      </c>
      <c r="N117">
        <v>2799.96</v>
      </c>
      <c r="P117">
        <v>2024</v>
      </c>
      <c r="Q117" t="str">
        <v>September</v>
      </c>
      <c r="R117" s="7">
        <f t="shared" si="2"/>
        <v>45838</v>
      </c>
      <c r="S117" s="8">
        <f t="shared" si="3"/>
        <v>1108</v>
      </c>
    </row>
    <row r="118" spans="1:19">
      <c r="A118" t="s">
        <v>257</v>
      </c>
      <c r="B118" s="7">
        <v>45559</v>
      </c>
      <c r="C118" t="s">
        <v>236</v>
      </c>
      <c r="D118" t="s">
        <v>237</v>
      </c>
      <c r="E118" t="s">
        <v>63</v>
      </c>
      <c r="F118" t="s">
        <v>64</v>
      </c>
      <c r="G118" t="s">
        <v>21</v>
      </c>
      <c r="H118">
        <v>3</v>
      </c>
      <c r="I118">
        <v>899.99</v>
      </c>
      <c r="J118" t="s">
        <v>28</v>
      </c>
      <c r="K118" t="s">
        <v>42</v>
      </c>
      <c r="L118" t="s">
        <v>38</v>
      </c>
      <c r="M118" s="7">
        <v>45157</v>
      </c>
      <c r="N118">
        <v>2699.97</v>
      </c>
      <c r="P118">
        <v>2024</v>
      </c>
      <c r="Q118" t="str">
        <v>September</v>
      </c>
      <c r="R118" s="7">
        <f t="shared" si="2"/>
        <v>45838</v>
      </c>
      <c r="S118" s="8">
        <f t="shared" si="3"/>
        <v>1072</v>
      </c>
    </row>
    <row r="119" spans="1:19">
      <c r="A119" t="s">
        <v>258</v>
      </c>
      <c r="B119" s="7">
        <v>45560</v>
      </c>
      <c r="C119" t="s">
        <v>114</v>
      </c>
      <c r="D119" t="s">
        <v>115</v>
      </c>
      <c r="E119" t="s">
        <v>46</v>
      </c>
      <c r="F119" t="s">
        <v>47</v>
      </c>
      <c r="G119" t="s">
        <v>48</v>
      </c>
      <c r="H119">
        <v>3</v>
      </c>
      <c r="I119">
        <v>149.99</v>
      </c>
      <c r="J119" t="s">
        <v>36</v>
      </c>
      <c r="K119" t="s">
        <v>65</v>
      </c>
      <c r="L119" t="s">
        <v>24</v>
      </c>
      <c r="M119" s="7">
        <v>44886</v>
      </c>
      <c r="N119">
        <v>449.97</v>
      </c>
      <c r="P119">
        <v>2024</v>
      </c>
      <c r="Q119" t="str">
        <v>September</v>
      </c>
      <c r="R119" s="7">
        <f t="shared" si="2"/>
        <v>45838</v>
      </c>
      <c r="S119" s="8">
        <f t="shared" si="3"/>
        <v>936</v>
      </c>
    </row>
    <row r="120" spans="1:19">
      <c r="A120" t="s">
        <v>259</v>
      </c>
      <c r="B120" s="7">
        <v>45563</v>
      </c>
      <c r="C120" t="s">
        <v>101</v>
      </c>
      <c r="D120" t="s">
        <v>102</v>
      </c>
      <c r="E120" t="s">
        <v>107</v>
      </c>
      <c r="F120" t="s">
        <v>108</v>
      </c>
      <c r="G120" t="s">
        <v>48</v>
      </c>
      <c r="H120">
        <v>2</v>
      </c>
      <c r="I120">
        <v>299.99</v>
      </c>
      <c r="J120" t="s">
        <v>59</v>
      </c>
      <c r="K120" t="s">
        <v>23</v>
      </c>
      <c r="L120" t="s">
        <v>24</v>
      </c>
      <c r="M120" s="7">
        <v>44569</v>
      </c>
      <c r="N120">
        <v>599.98</v>
      </c>
      <c r="P120">
        <v>2024</v>
      </c>
      <c r="Q120" t="str">
        <v>September</v>
      </c>
      <c r="R120" s="7">
        <f t="shared" si="2"/>
        <v>45838</v>
      </c>
      <c r="S120" s="8">
        <f t="shared" si="3"/>
        <v>402</v>
      </c>
    </row>
    <row r="121" spans="1:19">
      <c r="A121" t="s">
        <v>260</v>
      </c>
      <c r="B121" s="7">
        <v>45564</v>
      </c>
      <c r="C121" t="s">
        <v>261</v>
      </c>
      <c r="D121" t="s">
        <v>262</v>
      </c>
      <c r="E121" t="s">
        <v>128</v>
      </c>
      <c r="F121" t="s">
        <v>129</v>
      </c>
      <c r="G121" t="s">
        <v>48</v>
      </c>
      <c r="H121">
        <v>1</v>
      </c>
      <c r="I121">
        <v>199.99</v>
      </c>
      <c r="J121" t="s">
        <v>59</v>
      </c>
      <c r="K121" t="s">
        <v>65</v>
      </c>
      <c r="L121" t="s">
        <v>38</v>
      </c>
      <c r="M121" s="7">
        <v>44953</v>
      </c>
      <c r="N121">
        <v>199.99</v>
      </c>
      <c r="P121">
        <v>2024</v>
      </c>
      <c r="Q121" t="str">
        <v>September</v>
      </c>
      <c r="R121" s="7">
        <f t="shared" si="2"/>
        <v>45838</v>
      </c>
      <c r="S121" s="8">
        <f t="shared" si="3"/>
        <v>674</v>
      </c>
    </row>
    <row r="122" spans="1:19">
      <c r="A122" t="s">
        <v>263</v>
      </c>
      <c r="B122" s="7">
        <v>45566</v>
      </c>
      <c r="C122" t="s">
        <v>44</v>
      </c>
      <c r="D122" t="s">
        <v>45</v>
      </c>
      <c r="E122" t="s">
        <v>107</v>
      </c>
      <c r="F122" t="s">
        <v>108</v>
      </c>
      <c r="G122" t="s">
        <v>48</v>
      </c>
      <c r="H122">
        <v>4</v>
      </c>
      <c r="I122">
        <v>299.99</v>
      </c>
      <c r="J122" t="s">
        <v>22</v>
      </c>
      <c r="K122" t="s">
        <v>23</v>
      </c>
      <c r="L122" t="s">
        <v>29</v>
      </c>
      <c r="M122" s="7">
        <v>44460</v>
      </c>
      <c r="N122">
        <v>1199.96</v>
      </c>
      <c r="P122">
        <v>2024</v>
      </c>
      <c r="Q122" t="str">
        <v>September</v>
      </c>
      <c r="R122" s="7">
        <f t="shared" si="2"/>
        <v>45838</v>
      </c>
      <c r="S122" s="8">
        <f t="shared" si="3"/>
        <v>994</v>
      </c>
    </row>
    <row r="123" spans="1:19">
      <c r="A123" t="s">
        <v>264</v>
      </c>
      <c r="B123" s="7">
        <v>45572</v>
      </c>
      <c r="C123" t="s">
        <v>91</v>
      </c>
      <c r="D123" t="s">
        <v>92</v>
      </c>
      <c r="E123" t="s">
        <v>33</v>
      </c>
      <c r="F123" t="s">
        <v>34</v>
      </c>
      <c r="G123" t="s">
        <v>35</v>
      </c>
      <c r="H123">
        <v>2</v>
      </c>
      <c r="I123">
        <v>59.99</v>
      </c>
      <c r="J123" t="s">
        <v>28</v>
      </c>
      <c r="K123" t="s">
        <v>23</v>
      </c>
      <c r="L123" t="s">
        <v>24</v>
      </c>
      <c r="M123" s="7">
        <v>44579</v>
      </c>
      <c r="N123">
        <v>119.98</v>
      </c>
      <c r="P123">
        <v>2024</v>
      </c>
      <c r="Q123" t="str">
        <v>September</v>
      </c>
      <c r="R123" s="7">
        <f t="shared" si="2"/>
        <v>45838</v>
      </c>
      <c r="S123" s="8">
        <f t="shared" si="3"/>
        <v>611</v>
      </c>
    </row>
    <row r="124" spans="1:19">
      <c r="A124" t="s">
        <v>265</v>
      </c>
      <c r="B124" s="7">
        <v>45572</v>
      </c>
      <c r="C124" t="s">
        <v>236</v>
      </c>
      <c r="D124" t="s">
        <v>237</v>
      </c>
      <c r="E124" t="s">
        <v>54</v>
      </c>
      <c r="F124" t="s">
        <v>55</v>
      </c>
      <c r="G124" t="s">
        <v>21</v>
      </c>
      <c r="H124">
        <v>4</v>
      </c>
      <c r="I124">
        <v>149.99</v>
      </c>
      <c r="J124" t="s">
        <v>28</v>
      </c>
      <c r="K124" t="s">
        <v>42</v>
      </c>
      <c r="L124" t="s">
        <v>29</v>
      </c>
      <c r="M124" s="7">
        <v>45076</v>
      </c>
      <c r="N124">
        <v>599.96</v>
      </c>
      <c r="P124">
        <v>2024</v>
      </c>
      <c r="Q124" t="str">
        <v>October</v>
      </c>
      <c r="R124" s="7">
        <f t="shared" si="2"/>
        <v>45900</v>
      </c>
      <c r="S124" s="8">
        <f t="shared" si="3"/>
        <v>1106</v>
      </c>
    </row>
    <row r="125" spans="1:19">
      <c r="A125" t="s">
        <v>266</v>
      </c>
      <c r="B125" s="7">
        <v>45573</v>
      </c>
      <c r="C125" t="s">
        <v>213</v>
      </c>
      <c r="D125" t="s">
        <v>214</v>
      </c>
      <c r="E125" t="s">
        <v>82</v>
      </c>
      <c r="F125" t="s">
        <v>83</v>
      </c>
      <c r="G125" t="s">
        <v>21</v>
      </c>
      <c r="H125">
        <v>2</v>
      </c>
      <c r="I125">
        <v>699.99</v>
      </c>
      <c r="J125" t="s">
        <v>59</v>
      </c>
      <c r="K125" t="s">
        <v>65</v>
      </c>
      <c r="L125" t="s">
        <v>29</v>
      </c>
      <c r="M125" s="7">
        <v>45274</v>
      </c>
      <c r="N125">
        <v>1399.98</v>
      </c>
      <c r="P125">
        <v>2024</v>
      </c>
      <c r="Q125" t="str">
        <v>October</v>
      </c>
      <c r="R125" s="7">
        <f t="shared" si="2"/>
        <v>45900</v>
      </c>
      <c r="S125" s="8">
        <f t="shared" si="3"/>
        <v>993</v>
      </c>
    </row>
    <row r="126" spans="1:19">
      <c r="A126" t="s">
        <v>267</v>
      </c>
      <c r="B126" s="7">
        <v>45573</v>
      </c>
      <c r="C126" t="s">
        <v>233</v>
      </c>
      <c r="D126" t="s">
        <v>234</v>
      </c>
      <c r="E126" t="s">
        <v>46</v>
      </c>
      <c r="F126" t="s">
        <v>47</v>
      </c>
      <c r="G126" t="s">
        <v>48</v>
      </c>
      <c r="H126">
        <v>3</v>
      </c>
      <c r="I126">
        <v>149.99</v>
      </c>
      <c r="J126" t="s">
        <v>28</v>
      </c>
      <c r="K126" t="s">
        <v>37</v>
      </c>
      <c r="L126" t="s">
        <v>38</v>
      </c>
      <c r="M126" s="7">
        <v>44940</v>
      </c>
      <c r="N126">
        <v>449.97</v>
      </c>
      <c r="P126">
        <v>2024</v>
      </c>
      <c r="Q126" t="str">
        <v>October</v>
      </c>
      <c r="R126" s="7">
        <f t="shared" si="2"/>
        <v>45900</v>
      </c>
      <c r="S126" s="8">
        <f t="shared" si="3"/>
        <v>496</v>
      </c>
    </row>
    <row r="127" spans="1:19">
      <c r="A127" t="s">
        <v>268</v>
      </c>
      <c r="B127" s="7">
        <v>45576</v>
      </c>
      <c r="C127" t="s">
        <v>149</v>
      </c>
      <c r="D127" t="s">
        <v>150</v>
      </c>
      <c r="E127" t="s">
        <v>107</v>
      </c>
      <c r="F127" t="s">
        <v>108</v>
      </c>
      <c r="G127" t="s">
        <v>48</v>
      </c>
      <c r="H127">
        <v>3</v>
      </c>
      <c r="I127">
        <v>299.99</v>
      </c>
      <c r="J127" t="s">
        <v>28</v>
      </c>
      <c r="K127" t="s">
        <v>23</v>
      </c>
      <c r="L127" t="s">
        <v>38</v>
      </c>
      <c r="M127" s="7">
        <v>45174</v>
      </c>
      <c r="N127">
        <v>899.97</v>
      </c>
      <c r="P127">
        <v>2024</v>
      </c>
      <c r="Q127" t="str">
        <v>October</v>
      </c>
      <c r="R127" s="7">
        <f t="shared" si="2"/>
        <v>45900</v>
      </c>
      <c r="S127" s="8">
        <f t="shared" si="3"/>
        <v>299</v>
      </c>
    </row>
    <row r="128" spans="1:19">
      <c r="A128" t="s">
        <v>269</v>
      </c>
      <c r="B128" s="7">
        <v>45579</v>
      </c>
      <c r="C128" t="s">
        <v>85</v>
      </c>
      <c r="D128" t="s">
        <v>86</v>
      </c>
      <c r="E128" t="s">
        <v>63</v>
      </c>
      <c r="F128" t="s">
        <v>64</v>
      </c>
      <c r="G128" t="s">
        <v>21</v>
      </c>
      <c r="H128">
        <v>3</v>
      </c>
      <c r="I128">
        <v>899.99</v>
      </c>
      <c r="J128" t="s">
        <v>36</v>
      </c>
      <c r="K128" t="s">
        <v>52</v>
      </c>
      <c r="L128" t="s">
        <v>24</v>
      </c>
      <c r="M128" s="7">
        <v>45215</v>
      </c>
      <c r="N128">
        <v>2699.97</v>
      </c>
      <c r="P128">
        <v>2024</v>
      </c>
      <c r="Q128" t="str">
        <v>October</v>
      </c>
      <c r="R128" s="7">
        <f t="shared" si="2"/>
        <v>45900</v>
      </c>
      <c r="S128" s="8">
        <f t="shared" si="3"/>
        <v>633</v>
      </c>
    </row>
    <row r="129" spans="1:19">
      <c r="A129" t="s">
        <v>270</v>
      </c>
      <c r="B129" s="7">
        <v>45581</v>
      </c>
      <c r="C129" t="s">
        <v>98</v>
      </c>
      <c r="D129" t="s">
        <v>99</v>
      </c>
      <c r="E129" t="s">
        <v>82</v>
      </c>
      <c r="F129" t="s">
        <v>83</v>
      </c>
      <c r="G129" t="s">
        <v>21</v>
      </c>
      <c r="H129">
        <v>5</v>
      </c>
      <c r="I129">
        <v>699.99</v>
      </c>
      <c r="J129" t="s">
        <v>22</v>
      </c>
      <c r="K129" t="s">
        <v>65</v>
      </c>
      <c r="L129" t="s">
        <v>38</v>
      </c>
      <c r="M129" s="7">
        <v>45008</v>
      </c>
      <c r="N129">
        <v>3499.95</v>
      </c>
      <c r="P129">
        <v>2024</v>
      </c>
      <c r="Q129" t="str">
        <v>October</v>
      </c>
      <c r="R129" s="7">
        <f t="shared" si="2"/>
        <v>45900</v>
      </c>
      <c r="S129" s="8">
        <f t="shared" si="3"/>
        <v>402</v>
      </c>
    </row>
    <row r="130" spans="1:19">
      <c r="A130" t="s">
        <v>271</v>
      </c>
      <c r="B130" s="7">
        <v>45581</v>
      </c>
      <c r="C130" t="s">
        <v>173</v>
      </c>
      <c r="D130" t="s">
        <v>174</v>
      </c>
      <c r="E130" t="s">
        <v>82</v>
      </c>
      <c r="F130" t="s">
        <v>83</v>
      </c>
      <c r="G130" t="s">
        <v>21</v>
      </c>
      <c r="H130">
        <v>4</v>
      </c>
      <c r="I130">
        <v>699.99</v>
      </c>
      <c r="J130" t="s">
        <v>28</v>
      </c>
      <c r="K130" t="s">
        <v>23</v>
      </c>
      <c r="L130" t="s">
        <v>24</v>
      </c>
      <c r="M130" s="7">
        <v>45385</v>
      </c>
      <c r="N130">
        <v>2799.96</v>
      </c>
      <c r="P130">
        <v>2024</v>
      </c>
      <c r="Q130" t="str">
        <v>October</v>
      </c>
      <c r="R130" s="7">
        <f t="shared" si="2"/>
        <v>45900</v>
      </c>
      <c r="S130" s="8">
        <f t="shared" si="3"/>
        <v>364</v>
      </c>
    </row>
    <row r="131" spans="1:19">
      <c r="A131" t="s">
        <v>272</v>
      </c>
      <c r="B131" s="7">
        <v>45581</v>
      </c>
      <c r="C131" t="s">
        <v>152</v>
      </c>
      <c r="D131" t="s">
        <v>153</v>
      </c>
      <c r="E131" t="s">
        <v>63</v>
      </c>
      <c r="F131" t="s">
        <v>64</v>
      </c>
      <c r="G131" t="s">
        <v>21</v>
      </c>
      <c r="H131">
        <v>1</v>
      </c>
      <c r="I131">
        <v>899.99</v>
      </c>
      <c r="J131" t="s">
        <v>28</v>
      </c>
      <c r="K131" t="s">
        <v>65</v>
      </c>
      <c r="L131" t="s">
        <v>38</v>
      </c>
      <c r="M131" s="7">
        <v>45369</v>
      </c>
      <c r="N131">
        <v>899.99</v>
      </c>
      <c r="P131">
        <v>2024</v>
      </c>
      <c r="Q131" t="str">
        <v>October</v>
      </c>
      <c r="R131" s="7">
        <f t="shared" si="2"/>
        <v>45900</v>
      </c>
      <c r="S131" s="8">
        <f t="shared" si="3"/>
        <v>573</v>
      </c>
    </row>
    <row r="132" spans="1:19">
      <c r="A132" t="s">
        <v>273</v>
      </c>
      <c r="B132" s="7">
        <v>45583</v>
      </c>
      <c r="C132" t="s">
        <v>228</v>
      </c>
      <c r="D132" t="s">
        <v>229</v>
      </c>
      <c r="E132" t="s">
        <v>54</v>
      </c>
      <c r="F132" t="s">
        <v>55</v>
      </c>
      <c r="G132" t="s">
        <v>21</v>
      </c>
      <c r="H132">
        <v>2</v>
      </c>
      <c r="I132">
        <v>149.99</v>
      </c>
      <c r="J132" t="s">
        <v>28</v>
      </c>
      <c r="K132" t="s">
        <v>52</v>
      </c>
      <c r="L132" t="s">
        <v>24</v>
      </c>
      <c r="M132" s="7">
        <v>44916</v>
      </c>
      <c r="N132">
        <v>299.98</v>
      </c>
      <c r="P132">
        <v>2024</v>
      </c>
      <c r="Q132" t="str">
        <v>October</v>
      </c>
      <c r="R132" s="7">
        <f t="shared" si="2"/>
        <v>45900</v>
      </c>
      <c r="S132" s="8">
        <f t="shared" si="3"/>
        <v>196</v>
      </c>
    </row>
    <row r="133" spans="1:19">
      <c r="A133" t="s">
        <v>274</v>
      </c>
      <c r="B133" s="7">
        <v>45586</v>
      </c>
      <c r="C133" t="s">
        <v>228</v>
      </c>
      <c r="D133" t="s">
        <v>229</v>
      </c>
      <c r="E133" t="s">
        <v>119</v>
      </c>
      <c r="F133" t="s">
        <v>120</v>
      </c>
      <c r="G133" t="s">
        <v>21</v>
      </c>
      <c r="H133">
        <v>3</v>
      </c>
      <c r="I133">
        <v>89.99</v>
      </c>
      <c r="J133" t="s">
        <v>36</v>
      </c>
      <c r="K133" t="s">
        <v>23</v>
      </c>
      <c r="L133" t="s">
        <v>24</v>
      </c>
      <c r="M133" s="7">
        <v>44551</v>
      </c>
      <c r="N133">
        <v>269.97000000000003</v>
      </c>
      <c r="P133">
        <v>2024</v>
      </c>
      <c r="Q133" t="str">
        <v>October</v>
      </c>
      <c r="R133" s="7">
        <f t="shared" ref="R133:R196" si="4">EOMONTH(B131,MONTH(B131))</f>
        <v>45900</v>
      </c>
      <c r="S133" s="8">
        <f t="shared" ref="S133:S196" si="5">DATEDIF(M131,B131,"d")</f>
        <v>212</v>
      </c>
    </row>
    <row r="134" spans="1:19">
      <c r="A134" t="s">
        <v>275</v>
      </c>
      <c r="B134" s="7">
        <v>45588</v>
      </c>
      <c r="C134" t="s">
        <v>40</v>
      </c>
      <c r="D134" t="s">
        <v>41</v>
      </c>
      <c r="E134" t="s">
        <v>54</v>
      </c>
      <c r="F134" t="s">
        <v>55</v>
      </c>
      <c r="G134" t="s">
        <v>21</v>
      </c>
      <c r="H134">
        <v>2</v>
      </c>
      <c r="I134">
        <v>149.99</v>
      </c>
      <c r="J134" t="s">
        <v>36</v>
      </c>
      <c r="K134" t="s">
        <v>23</v>
      </c>
      <c r="L134" t="s">
        <v>24</v>
      </c>
      <c r="M134" s="7">
        <v>44473</v>
      </c>
      <c r="N134">
        <v>299.98</v>
      </c>
      <c r="P134">
        <v>2024</v>
      </c>
      <c r="Q134" t="str">
        <v>October</v>
      </c>
      <c r="R134" s="7">
        <f t="shared" si="4"/>
        <v>45900</v>
      </c>
      <c r="S134" s="8">
        <f t="shared" si="5"/>
        <v>667</v>
      </c>
    </row>
    <row r="135" spans="1:19">
      <c r="A135" t="s">
        <v>276</v>
      </c>
      <c r="B135" s="7">
        <v>45588</v>
      </c>
      <c r="C135" t="s">
        <v>156</v>
      </c>
      <c r="D135" t="s">
        <v>157</v>
      </c>
      <c r="E135" t="s">
        <v>82</v>
      </c>
      <c r="F135" t="s">
        <v>83</v>
      </c>
      <c r="G135" t="s">
        <v>21</v>
      </c>
      <c r="H135">
        <v>2</v>
      </c>
      <c r="I135">
        <v>699.99</v>
      </c>
      <c r="J135" t="s">
        <v>22</v>
      </c>
      <c r="K135" t="s">
        <v>23</v>
      </c>
      <c r="L135" t="s">
        <v>24</v>
      </c>
      <c r="M135" s="7">
        <v>44992</v>
      </c>
      <c r="N135">
        <v>1399.98</v>
      </c>
      <c r="P135">
        <v>2024</v>
      </c>
      <c r="Q135" t="str">
        <v>October</v>
      </c>
      <c r="R135" s="7">
        <f t="shared" si="4"/>
        <v>45900</v>
      </c>
      <c r="S135" s="8">
        <f t="shared" si="5"/>
        <v>1035</v>
      </c>
    </row>
    <row r="136" spans="1:19">
      <c r="A136" t="s">
        <v>277</v>
      </c>
      <c r="B136" s="7">
        <v>45589</v>
      </c>
      <c r="C136" t="s">
        <v>160</v>
      </c>
      <c r="D136" t="s">
        <v>161</v>
      </c>
      <c r="E136" t="s">
        <v>82</v>
      </c>
      <c r="F136" t="s">
        <v>83</v>
      </c>
      <c r="G136" t="s">
        <v>21</v>
      </c>
      <c r="H136">
        <v>5</v>
      </c>
      <c r="I136">
        <v>699.99</v>
      </c>
      <c r="J136" t="s">
        <v>22</v>
      </c>
      <c r="K136" t="s">
        <v>42</v>
      </c>
      <c r="L136" t="s">
        <v>29</v>
      </c>
      <c r="M136" s="7">
        <v>44635</v>
      </c>
      <c r="N136">
        <v>3499.95</v>
      </c>
      <c r="P136">
        <v>2024</v>
      </c>
      <c r="Q136" t="str">
        <v>October</v>
      </c>
      <c r="R136" s="7">
        <f t="shared" si="4"/>
        <v>45900</v>
      </c>
      <c r="S136" s="8">
        <f t="shared" si="5"/>
        <v>1115</v>
      </c>
    </row>
    <row r="137" spans="1:19">
      <c r="A137" t="s">
        <v>278</v>
      </c>
      <c r="B137" s="7">
        <v>45592</v>
      </c>
      <c r="C137" t="s">
        <v>173</v>
      </c>
      <c r="D137" t="s">
        <v>174</v>
      </c>
      <c r="E137" t="s">
        <v>119</v>
      </c>
      <c r="F137" t="s">
        <v>120</v>
      </c>
      <c r="G137" t="s">
        <v>21</v>
      </c>
      <c r="H137">
        <v>3</v>
      </c>
      <c r="I137">
        <v>89.99</v>
      </c>
      <c r="J137" t="s">
        <v>28</v>
      </c>
      <c r="K137" t="s">
        <v>42</v>
      </c>
      <c r="L137" t="s">
        <v>38</v>
      </c>
      <c r="M137" s="7">
        <v>44615</v>
      </c>
      <c r="N137">
        <v>269.97000000000003</v>
      </c>
      <c r="P137">
        <v>2024</v>
      </c>
      <c r="Q137" t="str">
        <v>October</v>
      </c>
      <c r="R137" s="7">
        <f t="shared" si="4"/>
        <v>45900</v>
      </c>
      <c r="S137" s="8">
        <f t="shared" si="5"/>
        <v>596</v>
      </c>
    </row>
    <row r="138" spans="1:19">
      <c r="A138" t="s">
        <v>279</v>
      </c>
      <c r="B138" s="7">
        <v>45597</v>
      </c>
      <c r="C138" t="s">
        <v>17</v>
      </c>
      <c r="D138" t="s">
        <v>18</v>
      </c>
      <c r="E138" t="s">
        <v>19</v>
      </c>
      <c r="F138" t="s">
        <v>20</v>
      </c>
      <c r="G138" t="s">
        <v>21</v>
      </c>
      <c r="H138">
        <v>5</v>
      </c>
      <c r="I138">
        <v>249.99</v>
      </c>
      <c r="J138" t="s">
        <v>28</v>
      </c>
      <c r="K138" t="s">
        <v>37</v>
      </c>
      <c r="L138" t="s">
        <v>38</v>
      </c>
      <c r="M138" s="7">
        <v>44881</v>
      </c>
      <c r="N138">
        <v>1249.95</v>
      </c>
      <c r="P138">
        <v>2024</v>
      </c>
      <c r="Q138" t="str">
        <v>October</v>
      </c>
      <c r="R138" s="7">
        <f t="shared" si="4"/>
        <v>45900</v>
      </c>
      <c r="S138" s="8">
        <f t="shared" si="5"/>
        <v>954</v>
      </c>
    </row>
    <row r="139" spans="1:19">
      <c r="A139" t="s">
        <v>280</v>
      </c>
      <c r="B139" s="7">
        <v>45600</v>
      </c>
      <c r="C139" t="s">
        <v>67</v>
      </c>
      <c r="D139" t="s">
        <v>68</v>
      </c>
      <c r="E139" t="s">
        <v>107</v>
      </c>
      <c r="F139" t="s">
        <v>108</v>
      </c>
      <c r="G139" t="s">
        <v>48</v>
      </c>
      <c r="H139">
        <v>3</v>
      </c>
      <c r="I139">
        <v>299.99</v>
      </c>
      <c r="J139" t="s">
        <v>28</v>
      </c>
      <c r="K139" t="s">
        <v>37</v>
      </c>
      <c r="L139" t="s">
        <v>38</v>
      </c>
      <c r="M139" s="7">
        <v>44502</v>
      </c>
      <c r="N139">
        <v>899.97</v>
      </c>
      <c r="P139">
        <v>2024</v>
      </c>
      <c r="Q139" t="str">
        <v>October</v>
      </c>
      <c r="R139" s="7">
        <f t="shared" si="4"/>
        <v>45900</v>
      </c>
      <c r="S139" s="8">
        <f t="shared" si="5"/>
        <v>977</v>
      </c>
    </row>
    <row r="140" spans="1:19">
      <c r="A140" t="s">
        <v>281</v>
      </c>
      <c r="B140" s="7">
        <v>45603</v>
      </c>
      <c r="C140" t="s">
        <v>101</v>
      </c>
      <c r="D140" t="s">
        <v>102</v>
      </c>
      <c r="E140" t="s">
        <v>119</v>
      </c>
      <c r="F140" t="s">
        <v>120</v>
      </c>
      <c r="G140" t="s">
        <v>21</v>
      </c>
      <c r="H140">
        <v>3</v>
      </c>
      <c r="I140">
        <v>89.99</v>
      </c>
      <c r="J140" t="s">
        <v>28</v>
      </c>
      <c r="K140" t="s">
        <v>42</v>
      </c>
      <c r="L140" t="s">
        <v>29</v>
      </c>
      <c r="M140" s="7">
        <v>44420</v>
      </c>
      <c r="N140">
        <v>269.97000000000003</v>
      </c>
      <c r="P140">
        <v>2024</v>
      </c>
      <c r="Q140" t="str">
        <v>November</v>
      </c>
      <c r="R140" s="7">
        <f t="shared" si="4"/>
        <v>45961</v>
      </c>
      <c r="S140" s="8">
        <f t="shared" si="5"/>
        <v>716</v>
      </c>
    </row>
    <row r="141" spans="1:19">
      <c r="A141" t="s">
        <v>282</v>
      </c>
      <c r="B141" s="7">
        <v>45604</v>
      </c>
      <c r="C141" t="s">
        <v>91</v>
      </c>
      <c r="D141" t="s">
        <v>92</v>
      </c>
      <c r="E141" t="s">
        <v>46</v>
      </c>
      <c r="F141" t="s">
        <v>47</v>
      </c>
      <c r="G141" t="s">
        <v>48</v>
      </c>
      <c r="H141">
        <v>2</v>
      </c>
      <c r="I141">
        <v>149.99</v>
      </c>
      <c r="J141" t="s">
        <v>28</v>
      </c>
      <c r="K141" t="s">
        <v>52</v>
      </c>
      <c r="L141" t="s">
        <v>29</v>
      </c>
      <c r="M141" s="7">
        <v>44848</v>
      </c>
      <c r="N141">
        <v>299.98</v>
      </c>
      <c r="P141">
        <v>2024</v>
      </c>
      <c r="Q141" t="str">
        <v>November</v>
      </c>
      <c r="R141" s="7">
        <f t="shared" si="4"/>
        <v>45961</v>
      </c>
      <c r="S141" s="8">
        <f t="shared" si="5"/>
        <v>1098</v>
      </c>
    </row>
    <row r="142" spans="1:19">
      <c r="A142" t="s">
        <v>283</v>
      </c>
      <c r="B142" s="7">
        <v>45605</v>
      </c>
      <c r="C142" t="s">
        <v>187</v>
      </c>
      <c r="D142" t="s">
        <v>188</v>
      </c>
      <c r="E142" t="s">
        <v>19</v>
      </c>
      <c r="F142" t="s">
        <v>20</v>
      </c>
      <c r="G142" t="s">
        <v>21</v>
      </c>
      <c r="H142">
        <v>1</v>
      </c>
      <c r="I142">
        <v>249.99</v>
      </c>
      <c r="J142" t="s">
        <v>28</v>
      </c>
      <c r="K142" t="s">
        <v>42</v>
      </c>
      <c r="L142" t="s">
        <v>29</v>
      </c>
      <c r="M142" s="7">
        <v>44828</v>
      </c>
      <c r="N142">
        <v>249.99</v>
      </c>
      <c r="P142">
        <v>2024</v>
      </c>
      <c r="Q142" t="str">
        <v>November</v>
      </c>
      <c r="R142" s="7">
        <f t="shared" si="4"/>
        <v>45961</v>
      </c>
      <c r="S142" s="8">
        <f t="shared" si="5"/>
        <v>1183</v>
      </c>
    </row>
    <row r="143" spans="1:19">
      <c r="A143" t="s">
        <v>284</v>
      </c>
      <c r="B143" s="7">
        <v>45607</v>
      </c>
      <c r="C143" t="s">
        <v>74</v>
      </c>
      <c r="D143" t="s">
        <v>75</v>
      </c>
      <c r="E143" t="s">
        <v>54</v>
      </c>
      <c r="F143" t="s">
        <v>55</v>
      </c>
      <c r="G143" t="s">
        <v>21</v>
      </c>
      <c r="H143">
        <v>3</v>
      </c>
      <c r="I143">
        <v>149.99</v>
      </c>
      <c r="J143" t="s">
        <v>22</v>
      </c>
      <c r="K143" t="s">
        <v>42</v>
      </c>
      <c r="L143" t="s">
        <v>24</v>
      </c>
      <c r="M143" s="7">
        <v>44769</v>
      </c>
      <c r="N143">
        <v>449.97</v>
      </c>
      <c r="P143">
        <v>2024</v>
      </c>
      <c r="Q143" t="str">
        <v>November</v>
      </c>
      <c r="R143" s="7">
        <f t="shared" si="4"/>
        <v>45961</v>
      </c>
      <c r="S143" s="8">
        <f t="shared" si="5"/>
        <v>756</v>
      </c>
    </row>
    <row r="144" spans="1:19">
      <c r="A144" t="s">
        <v>285</v>
      </c>
      <c r="B144" s="7">
        <v>45607</v>
      </c>
      <c r="C144" t="s">
        <v>17</v>
      </c>
      <c r="D144" t="s">
        <v>18</v>
      </c>
      <c r="E144" t="s">
        <v>33</v>
      </c>
      <c r="F144" t="s">
        <v>34</v>
      </c>
      <c r="G144" t="s">
        <v>35</v>
      </c>
      <c r="H144">
        <v>5</v>
      </c>
      <c r="I144">
        <v>59.99</v>
      </c>
      <c r="J144" t="s">
        <v>36</v>
      </c>
      <c r="K144" t="s">
        <v>52</v>
      </c>
      <c r="L144" t="s">
        <v>29</v>
      </c>
      <c r="M144" s="7">
        <v>44694</v>
      </c>
      <c r="N144">
        <v>299.95</v>
      </c>
      <c r="P144">
        <v>2024</v>
      </c>
      <c r="Q144" t="str">
        <v>November</v>
      </c>
      <c r="R144" s="7">
        <f t="shared" si="4"/>
        <v>45961</v>
      </c>
      <c r="S144" s="8">
        <f t="shared" si="5"/>
        <v>777</v>
      </c>
    </row>
    <row r="145" spans="1:19">
      <c r="A145" t="s">
        <v>286</v>
      </c>
      <c r="B145" s="7">
        <v>45607</v>
      </c>
      <c r="C145" t="s">
        <v>101</v>
      </c>
      <c r="D145" t="s">
        <v>102</v>
      </c>
      <c r="E145" t="s">
        <v>19</v>
      </c>
      <c r="F145" t="s">
        <v>20</v>
      </c>
      <c r="G145" t="s">
        <v>21</v>
      </c>
      <c r="H145">
        <v>4</v>
      </c>
      <c r="I145">
        <v>249.99</v>
      </c>
      <c r="J145" t="s">
        <v>28</v>
      </c>
      <c r="K145" t="s">
        <v>52</v>
      </c>
      <c r="L145" t="s">
        <v>38</v>
      </c>
      <c r="M145" s="7">
        <v>44659</v>
      </c>
      <c r="N145">
        <v>999.96</v>
      </c>
      <c r="P145">
        <v>2024</v>
      </c>
      <c r="Q145" t="str">
        <v>November</v>
      </c>
      <c r="R145" s="7">
        <f t="shared" si="4"/>
        <v>45961</v>
      </c>
      <c r="S145" s="8">
        <f t="shared" si="5"/>
        <v>838</v>
      </c>
    </row>
    <row r="146" spans="1:19">
      <c r="A146" t="s">
        <v>287</v>
      </c>
      <c r="B146" s="7">
        <v>45608</v>
      </c>
      <c r="C146" t="s">
        <v>156</v>
      </c>
      <c r="D146" t="s">
        <v>157</v>
      </c>
      <c r="E146" t="s">
        <v>46</v>
      </c>
      <c r="F146" t="s">
        <v>47</v>
      </c>
      <c r="G146" t="s">
        <v>48</v>
      </c>
      <c r="H146">
        <v>5</v>
      </c>
      <c r="I146">
        <v>149.99</v>
      </c>
      <c r="J146" t="s">
        <v>36</v>
      </c>
      <c r="K146" t="s">
        <v>23</v>
      </c>
      <c r="L146" t="s">
        <v>24</v>
      </c>
      <c r="M146" s="7">
        <v>44901</v>
      </c>
      <c r="N146">
        <v>749.95</v>
      </c>
      <c r="P146">
        <v>2024</v>
      </c>
      <c r="Q146" t="str">
        <v>November</v>
      </c>
      <c r="R146" s="7">
        <f t="shared" si="4"/>
        <v>45961</v>
      </c>
      <c r="S146" s="8">
        <f t="shared" si="5"/>
        <v>913</v>
      </c>
    </row>
    <row r="147" spans="1:19">
      <c r="A147" t="s">
        <v>288</v>
      </c>
      <c r="B147" s="7">
        <v>45608</v>
      </c>
      <c r="C147" t="s">
        <v>85</v>
      </c>
      <c r="D147" t="s">
        <v>86</v>
      </c>
      <c r="E147" t="s">
        <v>33</v>
      </c>
      <c r="F147" t="s">
        <v>34</v>
      </c>
      <c r="G147" t="s">
        <v>35</v>
      </c>
      <c r="H147">
        <v>3</v>
      </c>
      <c r="I147">
        <v>59.99</v>
      </c>
      <c r="J147" t="s">
        <v>59</v>
      </c>
      <c r="K147" t="s">
        <v>37</v>
      </c>
      <c r="L147" t="s">
        <v>38</v>
      </c>
      <c r="M147" s="7">
        <v>45260</v>
      </c>
      <c r="N147">
        <v>179.97</v>
      </c>
      <c r="P147">
        <v>2024</v>
      </c>
      <c r="Q147" t="str">
        <v>November</v>
      </c>
      <c r="R147" s="7">
        <f t="shared" si="4"/>
        <v>45961</v>
      </c>
      <c r="S147" s="8">
        <f t="shared" si="5"/>
        <v>948</v>
      </c>
    </row>
    <row r="148" spans="1:19">
      <c r="A148" t="s">
        <v>289</v>
      </c>
      <c r="B148" s="7">
        <v>45613</v>
      </c>
      <c r="C148" t="s">
        <v>236</v>
      </c>
      <c r="D148" t="s">
        <v>237</v>
      </c>
      <c r="E148" t="s">
        <v>46</v>
      </c>
      <c r="F148" t="s">
        <v>47</v>
      </c>
      <c r="G148" t="s">
        <v>48</v>
      </c>
      <c r="H148">
        <v>5</v>
      </c>
      <c r="I148">
        <v>149.99</v>
      </c>
      <c r="J148" t="s">
        <v>22</v>
      </c>
      <c r="K148" t="s">
        <v>42</v>
      </c>
      <c r="L148" t="s">
        <v>24</v>
      </c>
      <c r="M148" s="7">
        <v>44869</v>
      </c>
      <c r="N148">
        <v>749.95</v>
      </c>
      <c r="P148">
        <v>2024</v>
      </c>
      <c r="Q148" t="str">
        <v>November</v>
      </c>
      <c r="R148" s="7">
        <f t="shared" si="4"/>
        <v>45961</v>
      </c>
      <c r="S148" s="8">
        <f t="shared" si="5"/>
        <v>707</v>
      </c>
    </row>
    <row r="149" spans="1:19">
      <c r="A149" t="s">
        <v>290</v>
      </c>
      <c r="B149" s="7">
        <v>45613</v>
      </c>
      <c r="C149" t="s">
        <v>88</v>
      </c>
      <c r="D149" t="s">
        <v>89</v>
      </c>
      <c r="E149" t="s">
        <v>82</v>
      </c>
      <c r="F149" t="s">
        <v>83</v>
      </c>
      <c r="G149" t="s">
        <v>21</v>
      </c>
      <c r="H149">
        <v>2</v>
      </c>
      <c r="I149">
        <v>699.99</v>
      </c>
      <c r="J149" t="s">
        <v>36</v>
      </c>
      <c r="K149" t="s">
        <v>52</v>
      </c>
      <c r="L149" t="s">
        <v>38</v>
      </c>
      <c r="M149" s="7">
        <v>44770</v>
      </c>
      <c r="N149">
        <v>1399.98</v>
      </c>
      <c r="P149">
        <v>2024</v>
      </c>
      <c r="Q149" t="str">
        <v>November</v>
      </c>
      <c r="R149" s="7">
        <f t="shared" si="4"/>
        <v>45961</v>
      </c>
      <c r="S149" s="8">
        <f t="shared" si="5"/>
        <v>348</v>
      </c>
    </row>
    <row r="150" spans="1:19">
      <c r="A150" t="s">
        <v>291</v>
      </c>
      <c r="B150" s="7">
        <v>45617</v>
      </c>
      <c r="C150" t="s">
        <v>125</v>
      </c>
      <c r="D150" t="s">
        <v>126</v>
      </c>
      <c r="E150" t="s">
        <v>128</v>
      </c>
      <c r="F150" t="s">
        <v>129</v>
      </c>
      <c r="G150" t="s">
        <v>48</v>
      </c>
      <c r="H150">
        <v>4</v>
      </c>
      <c r="I150">
        <v>199.99</v>
      </c>
      <c r="J150" t="s">
        <v>59</v>
      </c>
      <c r="K150" t="s">
        <v>23</v>
      </c>
      <c r="L150" t="s">
        <v>29</v>
      </c>
      <c r="M150" s="7">
        <v>44427</v>
      </c>
      <c r="N150">
        <v>799.96</v>
      </c>
      <c r="P150">
        <v>2024</v>
      </c>
      <c r="Q150" t="str">
        <v>November</v>
      </c>
      <c r="R150" s="7">
        <f t="shared" si="4"/>
        <v>45961</v>
      </c>
      <c r="S150" s="8">
        <f t="shared" si="5"/>
        <v>744</v>
      </c>
    </row>
    <row r="151" spans="1:19">
      <c r="A151" t="s">
        <v>292</v>
      </c>
      <c r="B151" s="7">
        <v>45619</v>
      </c>
      <c r="C151" t="s">
        <v>194</v>
      </c>
      <c r="D151" t="s">
        <v>195</v>
      </c>
      <c r="E151" t="s">
        <v>33</v>
      </c>
      <c r="F151" t="s">
        <v>34</v>
      </c>
      <c r="G151" t="s">
        <v>35</v>
      </c>
      <c r="H151">
        <v>1</v>
      </c>
      <c r="I151">
        <v>59.99</v>
      </c>
      <c r="J151" t="s">
        <v>59</v>
      </c>
      <c r="K151" t="s">
        <v>52</v>
      </c>
      <c r="L151" t="s">
        <v>38</v>
      </c>
      <c r="M151" s="7">
        <v>44560</v>
      </c>
      <c r="N151">
        <v>59.99</v>
      </c>
      <c r="P151">
        <v>2024</v>
      </c>
      <c r="Q151" t="str">
        <v>November</v>
      </c>
      <c r="R151" s="7">
        <f t="shared" si="4"/>
        <v>45961</v>
      </c>
      <c r="S151" s="8">
        <f t="shared" si="5"/>
        <v>843</v>
      </c>
    </row>
    <row r="152" spans="1:19">
      <c r="A152" t="s">
        <v>293</v>
      </c>
      <c r="B152" s="7">
        <v>45619</v>
      </c>
      <c r="C152" t="s">
        <v>156</v>
      </c>
      <c r="D152" t="s">
        <v>157</v>
      </c>
      <c r="E152" t="s">
        <v>82</v>
      </c>
      <c r="F152" t="s">
        <v>83</v>
      </c>
      <c r="G152" t="s">
        <v>21</v>
      </c>
      <c r="H152">
        <v>3</v>
      </c>
      <c r="I152">
        <v>699.99</v>
      </c>
      <c r="J152" t="s">
        <v>36</v>
      </c>
      <c r="K152" t="s">
        <v>52</v>
      </c>
      <c r="L152" t="s">
        <v>38</v>
      </c>
      <c r="M152" s="7">
        <v>44583</v>
      </c>
      <c r="N152">
        <v>2099.9699999999998</v>
      </c>
      <c r="P152">
        <v>2024</v>
      </c>
      <c r="Q152" t="str">
        <v>November</v>
      </c>
      <c r="R152" s="7">
        <f t="shared" si="4"/>
        <v>45961</v>
      </c>
      <c r="S152" s="8">
        <f t="shared" si="5"/>
        <v>1190</v>
      </c>
    </row>
    <row r="153" spans="1:19">
      <c r="A153" t="s">
        <v>294</v>
      </c>
      <c r="B153" s="7">
        <v>45622</v>
      </c>
      <c r="C153" t="s">
        <v>295</v>
      </c>
      <c r="D153" t="s">
        <v>296</v>
      </c>
      <c r="E153" t="s">
        <v>19</v>
      </c>
      <c r="F153" t="s">
        <v>20</v>
      </c>
      <c r="G153" t="s">
        <v>21</v>
      </c>
      <c r="H153">
        <v>5</v>
      </c>
      <c r="I153">
        <v>249.99</v>
      </c>
      <c r="J153" t="s">
        <v>28</v>
      </c>
      <c r="K153" t="s">
        <v>42</v>
      </c>
      <c r="L153" t="s">
        <v>24</v>
      </c>
      <c r="M153" s="7">
        <v>44873</v>
      </c>
      <c r="N153">
        <v>1249.95</v>
      </c>
      <c r="P153">
        <v>2024</v>
      </c>
      <c r="Q153" t="str">
        <v>November</v>
      </c>
      <c r="R153" s="7">
        <f t="shared" si="4"/>
        <v>45961</v>
      </c>
      <c r="S153" s="8">
        <f t="shared" si="5"/>
        <v>1059</v>
      </c>
    </row>
    <row r="154" spans="1:19">
      <c r="A154" t="s">
        <v>297</v>
      </c>
      <c r="B154" s="7">
        <v>45623</v>
      </c>
      <c r="C154" t="s">
        <v>114</v>
      </c>
      <c r="D154" t="s">
        <v>115</v>
      </c>
      <c r="E154" t="s">
        <v>46</v>
      </c>
      <c r="F154" t="s">
        <v>47</v>
      </c>
      <c r="G154" t="s">
        <v>48</v>
      </c>
      <c r="H154">
        <v>2</v>
      </c>
      <c r="I154">
        <v>149.99</v>
      </c>
      <c r="J154" t="s">
        <v>22</v>
      </c>
      <c r="K154" t="s">
        <v>37</v>
      </c>
      <c r="L154" t="s">
        <v>38</v>
      </c>
      <c r="M154" s="7">
        <v>45101</v>
      </c>
      <c r="N154">
        <v>299.98</v>
      </c>
      <c r="P154">
        <v>2024</v>
      </c>
      <c r="Q154" t="str">
        <v>November</v>
      </c>
      <c r="R154" s="7">
        <f t="shared" si="4"/>
        <v>45961</v>
      </c>
      <c r="S154" s="8">
        <f t="shared" si="5"/>
        <v>1036</v>
      </c>
    </row>
    <row r="155" spans="1:19">
      <c r="A155" t="s">
        <v>298</v>
      </c>
      <c r="B155" s="7">
        <v>45627</v>
      </c>
      <c r="C155" t="s">
        <v>31</v>
      </c>
      <c r="D155" t="s">
        <v>32</v>
      </c>
      <c r="E155" t="s">
        <v>107</v>
      </c>
      <c r="F155" t="s">
        <v>108</v>
      </c>
      <c r="G155" t="s">
        <v>48</v>
      </c>
      <c r="H155">
        <v>3</v>
      </c>
      <c r="I155">
        <v>299.99</v>
      </c>
      <c r="J155" t="s">
        <v>22</v>
      </c>
      <c r="K155" t="s">
        <v>37</v>
      </c>
      <c r="L155" t="s">
        <v>29</v>
      </c>
      <c r="M155" s="7">
        <v>44659</v>
      </c>
      <c r="N155">
        <v>899.97</v>
      </c>
      <c r="P155">
        <v>2024</v>
      </c>
      <c r="Q155" t="str">
        <v>November</v>
      </c>
      <c r="R155" s="7">
        <f t="shared" si="4"/>
        <v>45961</v>
      </c>
      <c r="S155" s="8">
        <f t="shared" si="5"/>
        <v>749</v>
      </c>
    </row>
    <row r="156" spans="1:19">
      <c r="A156" t="s">
        <v>299</v>
      </c>
      <c r="B156" s="7">
        <v>45627</v>
      </c>
      <c r="C156" t="s">
        <v>57</v>
      </c>
      <c r="D156" t="s">
        <v>58</v>
      </c>
      <c r="E156" t="s">
        <v>19</v>
      </c>
      <c r="F156" t="s">
        <v>20</v>
      </c>
      <c r="G156" t="s">
        <v>21</v>
      </c>
      <c r="H156">
        <v>5</v>
      </c>
      <c r="I156">
        <v>249.99</v>
      </c>
      <c r="J156" t="s">
        <v>22</v>
      </c>
      <c r="K156" t="s">
        <v>23</v>
      </c>
      <c r="L156" t="s">
        <v>29</v>
      </c>
      <c r="M156" s="7">
        <v>44485</v>
      </c>
      <c r="N156">
        <v>1249.95</v>
      </c>
      <c r="P156">
        <v>2024</v>
      </c>
      <c r="Q156" t="str">
        <v>November</v>
      </c>
      <c r="R156" s="7">
        <f t="shared" si="4"/>
        <v>45961</v>
      </c>
      <c r="S156" s="8">
        <f t="shared" si="5"/>
        <v>522</v>
      </c>
    </row>
    <row r="157" spans="1:19">
      <c r="A157" t="s">
        <v>300</v>
      </c>
      <c r="B157" s="7">
        <v>45627</v>
      </c>
      <c r="C157" t="s">
        <v>26</v>
      </c>
      <c r="D157" t="s">
        <v>27</v>
      </c>
      <c r="E157" t="s">
        <v>54</v>
      </c>
      <c r="F157" t="s">
        <v>55</v>
      </c>
      <c r="G157" t="s">
        <v>21</v>
      </c>
      <c r="H157">
        <v>2</v>
      </c>
      <c r="I157">
        <v>149.99</v>
      </c>
      <c r="J157" t="s">
        <v>22</v>
      </c>
      <c r="K157" t="s">
        <v>37</v>
      </c>
      <c r="L157" t="s">
        <v>29</v>
      </c>
      <c r="M157" s="7">
        <v>44475</v>
      </c>
      <c r="N157">
        <v>299.98</v>
      </c>
      <c r="P157">
        <v>2024</v>
      </c>
      <c r="Q157" t="str">
        <v>December</v>
      </c>
      <c r="R157" s="7">
        <f t="shared" si="4"/>
        <v>46022</v>
      </c>
      <c r="S157" s="8">
        <f t="shared" si="5"/>
        <v>968</v>
      </c>
    </row>
    <row r="158" spans="1:19">
      <c r="A158" t="s">
        <v>301</v>
      </c>
      <c r="B158" s="7">
        <v>45627</v>
      </c>
      <c r="C158" t="s">
        <v>88</v>
      </c>
      <c r="D158" t="s">
        <v>89</v>
      </c>
      <c r="E158" t="s">
        <v>82</v>
      </c>
      <c r="F158" t="s">
        <v>83</v>
      </c>
      <c r="G158" t="s">
        <v>21</v>
      </c>
      <c r="H158">
        <v>5</v>
      </c>
      <c r="I158">
        <v>699.99</v>
      </c>
      <c r="J158" t="s">
        <v>59</v>
      </c>
      <c r="K158" t="s">
        <v>52</v>
      </c>
      <c r="L158" t="s">
        <v>38</v>
      </c>
      <c r="M158" s="7">
        <v>44944</v>
      </c>
      <c r="N158">
        <v>3499.95</v>
      </c>
      <c r="P158">
        <v>2024</v>
      </c>
      <c r="Q158" t="str">
        <v>December</v>
      </c>
      <c r="R158" s="7">
        <f t="shared" si="4"/>
        <v>46022</v>
      </c>
      <c r="S158" s="8">
        <f t="shared" si="5"/>
        <v>1142</v>
      </c>
    </row>
    <row r="159" spans="1:19">
      <c r="A159" t="s">
        <v>302</v>
      </c>
      <c r="B159" s="7">
        <v>45629</v>
      </c>
      <c r="C159" t="s">
        <v>254</v>
      </c>
      <c r="D159" t="s">
        <v>255</v>
      </c>
      <c r="E159" t="s">
        <v>19</v>
      </c>
      <c r="F159" t="s">
        <v>20</v>
      </c>
      <c r="G159" t="s">
        <v>21</v>
      </c>
      <c r="H159">
        <v>4</v>
      </c>
      <c r="I159">
        <v>249.99</v>
      </c>
      <c r="J159" t="s">
        <v>36</v>
      </c>
      <c r="K159" t="s">
        <v>65</v>
      </c>
      <c r="L159" t="s">
        <v>29</v>
      </c>
      <c r="M159" s="7">
        <v>45098</v>
      </c>
      <c r="N159">
        <v>999.96</v>
      </c>
      <c r="P159">
        <v>2024</v>
      </c>
      <c r="Q159" t="str">
        <v>December</v>
      </c>
      <c r="R159" s="7">
        <f t="shared" si="4"/>
        <v>46022</v>
      </c>
      <c r="S159" s="8">
        <f t="shared" si="5"/>
        <v>1152</v>
      </c>
    </row>
    <row r="160" spans="1:19">
      <c r="A160" t="s">
        <v>303</v>
      </c>
      <c r="B160" s="7">
        <v>45630</v>
      </c>
      <c r="C160" t="s">
        <v>50</v>
      </c>
      <c r="D160" t="s">
        <v>51</v>
      </c>
      <c r="E160" t="s">
        <v>82</v>
      </c>
      <c r="F160" t="s">
        <v>83</v>
      </c>
      <c r="G160" t="s">
        <v>21</v>
      </c>
      <c r="H160">
        <v>4</v>
      </c>
      <c r="I160">
        <v>699.99</v>
      </c>
      <c r="J160" t="s">
        <v>28</v>
      </c>
      <c r="K160" t="s">
        <v>42</v>
      </c>
      <c r="L160" t="s">
        <v>29</v>
      </c>
      <c r="M160" s="7">
        <v>44703</v>
      </c>
      <c r="N160">
        <v>2799.96</v>
      </c>
      <c r="P160">
        <v>2024</v>
      </c>
      <c r="Q160" t="str">
        <v>December</v>
      </c>
      <c r="R160" s="7">
        <f t="shared" si="4"/>
        <v>46022</v>
      </c>
      <c r="S160" s="8">
        <f t="shared" si="5"/>
        <v>683</v>
      </c>
    </row>
    <row r="161" spans="1:19">
      <c r="A161" t="s">
        <v>304</v>
      </c>
      <c r="B161" s="7">
        <v>45635</v>
      </c>
      <c r="C161" t="s">
        <v>110</v>
      </c>
      <c r="D161" t="s">
        <v>111</v>
      </c>
      <c r="E161" t="s">
        <v>19</v>
      </c>
      <c r="F161" t="s">
        <v>20</v>
      </c>
      <c r="G161" t="s">
        <v>21</v>
      </c>
      <c r="H161">
        <v>2</v>
      </c>
      <c r="I161">
        <v>249.99</v>
      </c>
      <c r="J161" t="s">
        <v>28</v>
      </c>
      <c r="K161" t="s">
        <v>23</v>
      </c>
      <c r="L161" t="s">
        <v>29</v>
      </c>
      <c r="M161" s="7">
        <v>44396</v>
      </c>
      <c r="N161">
        <v>499.98</v>
      </c>
      <c r="P161">
        <v>2024</v>
      </c>
      <c r="Q161" t="str">
        <v>December</v>
      </c>
      <c r="R161" s="7">
        <f t="shared" si="4"/>
        <v>46022</v>
      </c>
      <c r="S161" s="8">
        <f t="shared" si="5"/>
        <v>531</v>
      </c>
    </row>
    <row r="162" spans="1:19">
      <c r="A162" t="s">
        <v>305</v>
      </c>
      <c r="B162" s="7">
        <v>45635</v>
      </c>
      <c r="C162" t="s">
        <v>306</v>
      </c>
      <c r="D162" t="s">
        <v>307</v>
      </c>
      <c r="E162" t="s">
        <v>33</v>
      </c>
      <c r="F162" t="s">
        <v>34</v>
      </c>
      <c r="G162" t="s">
        <v>35</v>
      </c>
      <c r="H162">
        <v>3</v>
      </c>
      <c r="I162">
        <v>59.99</v>
      </c>
      <c r="J162" t="s">
        <v>22</v>
      </c>
      <c r="K162" t="s">
        <v>23</v>
      </c>
      <c r="L162" t="s">
        <v>29</v>
      </c>
      <c r="M162" s="7">
        <v>45052</v>
      </c>
      <c r="N162">
        <v>179.97</v>
      </c>
      <c r="P162">
        <v>2024</v>
      </c>
      <c r="Q162" t="str">
        <v>December</v>
      </c>
      <c r="R162" s="7">
        <f t="shared" si="4"/>
        <v>46022</v>
      </c>
      <c r="S162" s="8">
        <f t="shared" si="5"/>
        <v>927</v>
      </c>
    </row>
    <row r="163" spans="1:19">
      <c r="A163" t="s">
        <v>308</v>
      </c>
      <c r="B163" s="7">
        <v>45635</v>
      </c>
      <c r="C163" t="s">
        <v>143</v>
      </c>
      <c r="D163" t="s">
        <v>144</v>
      </c>
      <c r="E163" t="s">
        <v>116</v>
      </c>
      <c r="F163" t="s">
        <v>117</v>
      </c>
      <c r="G163" t="s">
        <v>35</v>
      </c>
      <c r="H163">
        <v>4</v>
      </c>
      <c r="I163">
        <v>79.989999999999995</v>
      </c>
      <c r="J163" t="s">
        <v>59</v>
      </c>
      <c r="K163" t="s">
        <v>65</v>
      </c>
      <c r="L163" t="s">
        <v>38</v>
      </c>
      <c r="M163" s="7">
        <v>44921</v>
      </c>
      <c r="N163">
        <v>319.95999999999998</v>
      </c>
      <c r="P163">
        <v>2024</v>
      </c>
      <c r="Q163" t="str">
        <v>December</v>
      </c>
      <c r="R163" s="7">
        <f t="shared" si="4"/>
        <v>46022</v>
      </c>
      <c r="S163" s="8">
        <f t="shared" si="5"/>
        <v>1239</v>
      </c>
    </row>
    <row r="164" spans="1:19">
      <c r="A164" t="s">
        <v>309</v>
      </c>
      <c r="B164" s="7">
        <v>45636</v>
      </c>
      <c r="C164" t="s">
        <v>122</v>
      </c>
      <c r="D164" t="s">
        <v>123</v>
      </c>
      <c r="E164" t="s">
        <v>116</v>
      </c>
      <c r="F164" t="s">
        <v>117</v>
      </c>
      <c r="G164" t="s">
        <v>35</v>
      </c>
      <c r="H164">
        <v>3</v>
      </c>
      <c r="I164">
        <v>79.989999999999995</v>
      </c>
      <c r="J164" t="s">
        <v>59</v>
      </c>
      <c r="K164" t="s">
        <v>65</v>
      </c>
      <c r="L164" t="s">
        <v>38</v>
      </c>
      <c r="M164" s="7">
        <v>44779</v>
      </c>
      <c r="N164">
        <v>239.97</v>
      </c>
      <c r="P164">
        <v>2024</v>
      </c>
      <c r="Q164" t="str">
        <v>December</v>
      </c>
      <c r="R164" s="7">
        <f t="shared" si="4"/>
        <v>46022</v>
      </c>
      <c r="S164" s="8">
        <f t="shared" si="5"/>
        <v>583</v>
      </c>
    </row>
    <row r="165" spans="1:19">
      <c r="A165" t="s">
        <v>310</v>
      </c>
      <c r="B165" s="7">
        <v>45638</v>
      </c>
      <c r="C165" t="s">
        <v>74</v>
      </c>
      <c r="D165" t="s">
        <v>75</v>
      </c>
      <c r="E165" t="s">
        <v>63</v>
      </c>
      <c r="F165" t="s">
        <v>64</v>
      </c>
      <c r="G165" t="s">
        <v>21</v>
      </c>
      <c r="H165">
        <v>2</v>
      </c>
      <c r="I165">
        <v>899.99</v>
      </c>
      <c r="J165" t="s">
        <v>22</v>
      </c>
      <c r="K165" t="s">
        <v>42</v>
      </c>
      <c r="L165" t="s">
        <v>24</v>
      </c>
      <c r="M165" s="7">
        <v>44406</v>
      </c>
      <c r="N165">
        <v>1799.98</v>
      </c>
      <c r="P165">
        <v>2024</v>
      </c>
      <c r="Q165" t="str">
        <v>December</v>
      </c>
      <c r="R165" s="7">
        <f t="shared" si="4"/>
        <v>46022</v>
      </c>
      <c r="S165" s="8">
        <f t="shared" si="5"/>
        <v>714</v>
      </c>
    </row>
    <row r="166" spans="1:19">
      <c r="A166" t="s">
        <v>311</v>
      </c>
      <c r="B166" s="7">
        <v>45641</v>
      </c>
      <c r="C166" t="s">
        <v>184</v>
      </c>
      <c r="D166" t="s">
        <v>185</v>
      </c>
      <c r="E166" t="s">
        <v>46</v>
      </c>
      <c r="F166" t="s">
        <v>47</v>
      </c>
      <c r="G166" t="s">
        <v>48</v>
      </c>
      <c r="H166">
        <v>1</v>
      </c>
      <c r="I166">
        <v>149.99</v>
      </c>
      <c r="J166" t="s">
        <v>59</v>
      </c>
      <c r="K166" t="s">
        <v>65</v>
      </c>
      <c r="L166" t="s">
        <v>38</v>
      </c>
      <c r="M166" s="7">
        <v>45200</v>
      </c>
      <c r="N166">
        <v>149.99</v>
      </c>
      <c r="P166">
        <v>2024</v>
      </c>
      <c r="Q166" t="str">
        <v>December</v>
      </c>
      <c r="R166" s="7">
        <f t="shared" si="4"/>
        <v>46022</v>
      </c>
      <c r="S166" s="8">
        <f t="shared" si="5"/>
        <v>857</v>
      </c>
    </row>
    <row r="167" spans="1:19">
      <c r="A167" t="s">
        <v>312</v>
      </c>
      <c r="B167" s="7">
        <v>45641</v>
      </c>
      <c r="C167" t="s">
        <v>140</v>
      </c>
      <c r="D167" t="s">
        <v>141</v>
      </c>
      <c r="E167" t="s">
        <v>107</v>
      </c>
      <c r="F167" t="s">
        <v>108</v>
      </c>
      <c r="G167" t="s">
        <v>48</v>
      </c>
      <c r="H167">
        <v>2</v>
      </c>
      <c r="I167">
        <v>299.99</v>
      </c>
      <c r="J167" t="s">
        <v>22</v>
      </c>
      <c r="K167" t="s">
        <v>65</v>
      </c>
      <c r="L167" t="s">
        <v>29</v>
      </c>
      <c r="M167" s="7">
        <v>44724</v>
      </c>
      <c r="N167">
        <v>599.98</v>
      </c>
      <c r="P167">
        <v>2024</v>
      </c>
      <c r="Q167" t="str">
        <v>December</v>
      </c>
      <c r="R167" s="7">
        <f t="shared" si="4"/>
        <v>46022</v>
      </c>
      <c r="S167" s="8">
        <f t="shared" si="5"/>
        <v>1232</v>
      </c>
    </row>
    <row r="168" spans="1:19">
      <c r="A168" t="s">
        <v>313</v>
      </c>
      <c r="B168" s="7">
        <v>45644</v>
      </c>
      <c r="C168" t="s">
        <v>134</v>
      </c>
      <c r="D168" t="s">
        <v>135</v>
      </c>
      <c r="E168" t="s">
        <v>33</v>
      </c>
      <c r="F168" t="s">
        <v>34</v>
      </c>
      <c r="G168" t="s">
        <v>35</v>
      </c>
      <c r="H168">
        <v>2</v>
      </c>
      <c r="I168">
        <v>59.99</v>
      </c>
      <c r="J168" t="s">
        <v>22</v>
      </c>
      <c r="K168" t="s">
        <v>52</v>
      </c>
      <c r="L168" t="s">
        <v>24</v>
      </c>
      <c r="M168" s="7">
        <v>45191</v>
      </c>
      <c r="N168">
        <v>119.98</v>
      </c>
      <c r="P168">
        <v>2024</v>
      </c>
      <c r="Q168" t="str">
        <v>December</v>
      </c>
      <c r="R168" s="7">
        <f t="shared" si="4"/>
        <v>46022</v>
      </c>
      <c r="S168" s="8">
        <f t="shared" si="5"/>
        <v>441</v>
      </c>
    </row>
    <row r="169" spans="1:19">
      <c r="A169" t="s">
        <v>314</v>
      </c>
      <c r="B169" s="7">
        <v>45645</v>
      </c>
      <c r="C169" t="s">
        <v>184</v>
      </c>
      <c r="D169" t="s">
        <v>185</v>
      </c>
      <c r="E169" t="s">
        <v>119</v>
      </c>
      <c r="F169" t="s">
        <v>120</v>
      </c>
      <c r="G169" t="s">
        <v>21</v>
      </c>
      <c r="H169">
        <v>1</v>
      </c>
      <c r="I169">
        <v>89.99</v>
      </c>
      <c r="J169" t="s">
        <v>59</v>
      </c>
      <c r="K169" t="s">
        <v>23</v>
      </c>
      <c r="L169" t="s">
        <v>38</v>
      </c>
      <c r="M169" s="7">
        <v>44760</v>
      </c>
      <c r="N169">
        <v>89.99</v>
      </c>
      <c r="P169">
        <v>2024</v>
      </c>
      <c r="Q169" t="str">
        <v>December</v>
      </c>
      <c r="R169" s="7">
        <f t="shared" si="4"/>
        <v>46022</v>
      </c>
      <c r="S169" s="8">
        <f t="shared" si="5"/>
        <v>917</v>
      </c>
    </row>
    <row r="170" spans="1:19">
      <c r="A170" t="s">
        <v>315</v>
      </c>
      <c r="B170" s="7">
        <v>45645</v>
      </c>
      <c r="C170" t="s">
        <v>149</v>
      </c>
      <c r="D170" t="s">
        <v>150</v>
      </c>
      <c r="E170" t="s">
        <v>63</v>
      </c>
      <c r="F170" t="s">
        <v>64</v>
      </c>
      <c r="G170" t="s">
        <v>21</v>
      </c>
      <c r="H170">
        <v>5</v>
      </c>
      <c r="I170">
        <v>899.99</v>
      </c>
      <c r="J170" t="s">
        <v>59</v>
      </c>
      <c r="K170" t="s">
        <v>65</v>
      </c>
      <c r="L170" t="s">
        <v>38</v>
      </c>
      <c r="M170" s="7">
        <v>44625</v>
      </c>
      <c r="N170">
        <v>4499.95</v>
      </c>
      <c r="P170">
        <v>2024</v>
      </c>
      <c r="Q170" t="str">
        <v>December</v>
      </c>
      <c r="R170" s="7">
        <f t="shared" si="4"/>
        <v>46022</v>
      </c>
      <c r="S170" s="8">
        <f t="shared" si="5"/>
        <v>453</v>
      </c>
    </row>
    <row r="171" spans="1:19">
      <c r="A171" t="s">
        <v>316</v>
      </c>
      <c r="B171" s="7">
        <v>45646</v>
      </c>
      <c r="C171" t="s">
        <v>44</v>
      </c>
      <c r="D171" t="s">
        <v>45</v>
      </c>
      <c r="E171" t="s">
        <v>46</v>
      </c>
      <c r="F171" t="s">
        <v>47</v>
      </c>
      <c r="G171" t="s">
        <v>48</v>
      </c>
      <c r="H171">
        <v>2</v>
      </c>
      <c r="I171">
        <v>149.99</v>
      </c>
      <c r="J171" t="s">
        <v>22</v>
      </c>
      <c r="K171" t="s">
        <v>37</v>
      </c>
      <c r="L171" t="s">
        <v>24</v>
      </c>
      <c r="M171" s="7">
        <v>45239</v>
      </c>
      <c r="N171">
        <v>299.98</v>
      </c>
      <c r="P171">
        <v>2024</v>
      </c>
      <c r="Q171" t="str">
        <v>December</v>
      </c>
      <c r="R171" s="7">
        <f t="shared" si="4"/>
        <v>46022</v>
      </c>
      <c r="S171" s="8">
        <f t="shared" si="5"/>
        <v>885</v>
      </c>
    </row>
    <row r="172" spans="1:19">
      <c r="A172" t="s">
        <v>317</v>
      </c>
      <c r="B172" s="7">
        <v>45648</v>
      </c>
      <c r="C172" t="s">
        <v>114</v>
      </c>
      <c r="D172" t="s">
        <v>115</v>
      </c>
      <c r="E172" t="s">
        <v>54</v>
      </c>
      <c r="F172" t="s">
        <v>55</v>
      </c>
      <c r="G172" t="s">
        <v>21</v>
      </c>
      <c r="H172">
        <v>2</v>
      </c>
      <c r="I172">
        <v>149.99</v>
      </c>
      <c r="J172" t="s">
        <v>59</v>
      </c>
      <c r="K172" t="s">
        <v>52</v>
      </c>
      <c r="L172" t="s">
        <v>29</v>
      </c>
      <c r="M172" s="7">
        <v>45280</v>
      </c>
      <c r="N172">
        <v>299.98</v>
      </c>
      <c r="P172">
        <v>2024</v>
      </c>
      <c r="Q172" t="str">
        <v>December</v>
      </c>
      <c r="R172" s="7">
        <f t="shared" si="4"/>
        <v>46022</v>
      </c>
      <c r="S172" s="8">
        <f t="shared" si="5"/>
        <v>1020</v>
      </c>
    </row>
    <row r="173" spans="1:19">
      <c r="A173" t="s">
        <v>318</v>
      </c>
      <c r="B173" s="7">
        <v>45648</v>
      </c>
      <c r="C173" t="s">
        <v>184</v>
      </c>
      <c r="D173" t="s">
        <v>185</v>
      </c>
      <c r="E173" t="s">
        <v>46</v>
      </c>
      <c r="F173" t="s">
        <v>47</v>
      </c>
      <c r="G173" t="s">
        <v>48</v>
      </c>
      <c r="H173">
        <v>3</v>
      </c>
      <c r="I173">
        <v>149.99</v>
      </c>
      <c r="J173" t="s">
        <v>59</v>
      </c>
      <c r="K173" t="s">
        <v>42</v>
      </c>
      <c r="L173" t="s">
        <v>38</v>
      </c>
      <c r="M173" s="7">
        <v>44522</v>
      </c>
      <c r="N173">
        <v>449.97</v>
      </c>
      <c r="P173">
        <v>2024</v>
      </c>
      <c r="Q173" t="str">
        <v>December</v>
      </c>
      <c r="R173" s="7">
        <f t="shared" si="4"/>
        <v>46022</v>
      </c>
      <c r="S173" s="8">
        <f t="shared" si="5"/>
        <v>407</v>
      </c>
    </row>
    <row r="174" spans="1:19">
      <c r="A174" t="s">
        <v>319</v>
      </c>
      <c r="B174" s="7">
        <v>45649</v>
      </c>
      <c r="C174" t="s">
        <v>31</v>
      </c>
      <c r="D174" t="s">
        <v>32</v>
      </c>
      <c r="E174" t="s">
        <v>107</v>
      </c>
      <c r="F174" t="s">
        <v>108</v>
      </c>
      <c r="G174" t="s">
        <v>48</v>
      </c>
      <c r="H174">
        <v>2</v>
      </c>
      <c r="I174">
        <v>299.99</v>
      </c>
      <c r="J174" t="s">
        <v>36</v>
      </c>
      <c r="K174" t="s">
        <v>37</v>
      </c>
      <c r="L174" t="s">
        <v>24</v>
      </c>
      <c r="M174" s="7">
        <v>44721</v>
      </c>
      <c r="N174">
        <v>599.98</v>
      </c>
      <c r="P174">
        <v>2024</v>
      </c>
      <c r="Q174" t="str">
        <v>December</v>
      </c>
      <c r="R174" s="7">
        <f t="shared" si="4"/>
        <v>46022</v>
      </c>
      <c r="S174" s="8">
        <f t="shared" si="5"/>
        <v>368</v>
      </c>
    </row>
    <row r="175" spans="1:19">
      <c r="A175" t="s">
        <v>320</v>
      </c>
      <c r="B175" s="7">
        <v>45654</v>
      </c>
      <c r="C175" t="s">
        <v>44</v>
      </c>
      <c r="D175" t="s">
        <v>45</v>
      </c>
      <c r="E175" t="s">
        <v>107</v>
      </c>
      <c r="F175" t="s">
        <v>108</v>
      </c>
      <c r="G175" t="s">
        <v>48</v>
      </c>
      <c r="H175">
        <v>2</v>
      </c>
      <c r="I175">
        <v>299.99</v>
      </c>
      <c r="J175" t="s">
        <v>22</v>
      </c>
      <c r="K175" t="s">
        <v>52</v>
      </c>
      <c r="L175" t="s">
        <v>24</v>
      </c>
      <c r="M175" s="7">
        <v>44771</v>
      </c>
      <c r="N175">
        <v>599.98</v>
      </c>
      <c r="P175">
        <v>2024</v>
      </c>
      <c r="Q175" t="str">
        <v>December</v>
      </c>
      <c r="R175" s="7">
        <f t="shared" si="4"/>
        <v>46022</v>
      </c>
      <c r="S175" s="8">
        <f t="shared" si="5"/>
        <v>1126</v>
      </c>
    </row>
    <row r="176" spans="1:19">
      <c r="A176" t="s">
        <v>321</v>
      </c>
      <c r="B176" s="7">
        <v>45654</v>
      </c>
      <c r="C176" t="s">
        <v>122</v>
      </c>
      <c r="D176" t="s">
        <v>123</v>
      </c>
      <c r="E176" t="s">
        <v>128</v>
      </c>
      <c r="F176" t="s">
        <v>129</v>
      </c>
      <c r="G176" t="s">
        <v>48</v>
      </c>
      <c r="H176">
        <v>4</v>
      </c>
      <c r="I176">
        <v>199.99</v>
      </c>
      <c r="J176" t="s">
        <v>28</v>
      </c>
      <c r="K176" t="s">
        <v>23</v>
      </c>
      <c r="L176" t="s">
        <v>24</v>
      </c>
      <c r="M176" s="7">
        <v>44523</v>
      </c>
      <c r="N176">
        <v>799.96</v>
      </c>
      <c r="P176">
        <v>2024</v>
      </c>
      <c r="Q176" t="str">
        <v>December</v>
      </c>
      <c r="R176" s="7">
        <f t="shared" si="4"/>
        <v>46022</v>
      </c>
      <c r="S176" s="8">
        <f t="shared" si="5"/>
        <v>928</v>
      </c>
    </row>
    <row r="177" spans="1:19">
      <c r="A177" t="s">
        <v>322</v>
      </c>
      <c r="B177" s="7">
        <v>45655</v>
      </c>
      <c r="C177" t="s">
        <v>61</v>
      </c>
      <c r="D177" t="s">
        <v>62</v>
      </c>
      <c r="E177" t="s">
        <v>119</v>
      </c>
      <c r="F177" t="s">
        <v>120</v>
      </c>
      <c r="G177" t="s">
        <v>21</v>
      </c>
      <c r="H177">
        <v>1</v>
      </c>
      <c r="I177">
        <v>89.99</v>
      </c>
      <c r="J177" t="s">
        <v>28</v>
      </c>
      <c r="K177" t="s">
        <v>37</v>
      </c>
      <c r="L177" t="s">
        <v>29</v>
      </c>
      <c r="M177" s="7">
        <v>44591</v>
      </c>
      <c r="N177">
        <v>89.99</v>
      </c>
      <c r="P177">
        <v>2024</v>
      </c>
      <c r="Q177" t="str">
        <v>December</v>
      </c>
      <c r="R177" s="7">
        <f t="shared" si="4"/>
        <v>46022</v>
      </c>
      <c r="S177" s="8">
        <f t="shared" si="5"/>
        <v>883</v>
      </c>
    </row>
    <row r="178" spans="1:19">
      <c r="A178" t="s">
        <v>323</v>
      </c>
      <c r="B178" s="7">
        <v>45655</v>
      </c>
      <c r="C178" t="s">
        <v>110</v>
      </c>
      <c r="D178" t="s">
        <v>111</v>
      </c>
      <c r="E178" t="s">
        <v>46</v>
      </c>
      <c r="F178" t="s">
        <v>47</v>
      </c>
      <c r="G178" t="s">
        <v>48</v>
      </c>
      <c r="H178">
        <v>5</v>
      </c>
      <c r="I178">
        <v>149.99</v>
      </c>
      <c r="J178" t="s">
        <v>22</v>
      </c>
      <c r="K178" t="s">
        <v>23</v>
      </c>
      <c r="L178" t="s">
        <v>29</v>
      </c>
      <c r="M178" s="7">
        <v>45347</v>
      </c>
      <c r="N178">
        <v>749.95</v>
      </c>
      <c r="P178">
        <v>2024</v>
      </c>
      <c r="Q178" t="str">
        <v>December</v>
      </c>
      <c r="R178" s="7">
        <f t="shared" si="4"/>
        <v>46022</v>
      </c>
      <c r="S178" s="8">
        <f t="shared" si="5"/>
        <v>1131</v>
      </c>
    </row>
    <row r="179" spans="1:19">
      <c r="A179" t="s">
        <v>324</v>
      </c>
      <c r="B179" s="7">
        <v>45657</v>
      </c>
      <c r="C179" t="s">
        <v>88</v>
      </c>
      <c r="D179" t="s">
        <v>89</v>
      </c>
      <c r="E179" t="s">
        <v>63</v>
      </c>
      <c r="F179" t="s">
        <v>64</v>
      </c>
      <c r="G179" t="s">
        <v>21</v>
      </c>
      <c r="H179">
        <v>1</v>
      </c>
      <c r="I179">
        <v>899.99</v>
      </c>
      <c r="J179" t="s">
        <v>36</v>
      </c>
      <c r="K179" t="s">
        <v>42</v>
      </c>
      <c r="L179" t="s">
        <v>29</v>
      </c>
      <c r="M179" s="7">
        <v>45050</v>
      </c>
      <c r="N179">
        <v>899.99</v>
      </c>
      <c r="P179">
        <v>2024</v>
      </c>
      <c r="Q179" t="str">
        <v>December</v>
      </c>
      <c r="R179" s="7">
        <f t="shared" si="4"/>
        <v>46022</v>
      </c>
      <c r="S179" s="8">
        <f t="shared" si="5"/>
        <v>1064</v>
      </c>
    </row>
    <row r="180" spans="1:19">
      <c r="A180" t="s">
        <v>325</v>
      </c>
      <c r="B180" s="7">
        <v>45660</v>
      </c>
      <c r="C180" t="s">
        <v>149</v>
      </c>
      <c r="D180" t="s">
        <v>150</v>
      </c>
      <c r="E180" t="s">
        <v>119</v>
      </c>
      <c r="F180" t="s">
        <v>120</v>
      </c>
      <c r="G180" t="s">
        <v>21</v>
      </c>
      <c r="H180">
        <v>2</v>
      </c>
      <c r="I180">
        <v>89.99</v>
      </c>
      <c r="J180" t="s">
        <v>28</v>
      </c>
      <c r="K180" t="s">
        <v>37</v>
      </c>
      <c r="L180" t="s">
        <v>29</v>
      </c>
      <c r="M180" s="7">
        <v>44564</v>
      </c>
      <c r="N180">
        <v>179.98</v>
      </c>
      <c r="P180">
        <v>2024</v>
      </c>
      <c r="Q180" t="str">
        <v>December</v>
      </c>
      <c r="R180" s="7">
        <f t="shared" si="4"/>
        <v>46022</v>
      </c>
      <c r="S180" s="8">
        <f t="shared" si="5"/>
        <v>308</v>
      </c>
    </row>
    <row r="181" spans="1:19">
      <c r="A181" t="s">
        <v>326</v>
      </c>
      <c r="B181" s="7">
        <v>45661</v>
      </c>
      <c r="C181" t="s">
        <v>327</v>
      </c>
      <c r="D181" t="s">
        <v>328</v>
      </c>
      <c r="E181" t="s">
        <v>63</v>
      </c>
      <c r="F181" t="s">
        <v>64</v>
      </c>
      <c r="G181" t="s">
        <v>21</v>
      </c>
      <c r="H181">
        <v>1</v>
      </c>
      <c r="I181">
        <v>899.99</v>
      </c>
      <c r="J181" t="s">
        <v>36</v>
      </c>
      <c r="K181" t="s">
        <v>42</v>
      </c>
      <c r="L181" t="s">
        <v>38</v>
      </c>
      <c r="M181" s="7">
        <v>44752</v>
      </c>
      <c r="N181">
        <v>899.99</v>
      </c>
      <c r="P181">
        <v>2024</v>
      </c>
      <c r="Q181" t="str">
        <v>December</v>
      </c>
      <c r="R181" s="7">
        <f t="shared" si="4"/>
        <v>46022</v>
      </c>
      <c r="S181" s="8">
        <f t="shared" si="5"/>
        <v>607</v>
      </c>
    </row>
    <row r="182" spans="1:19">
      <c r="A182" t="s">
        <v>329</v>
      </c>
      <c r="B182" s="7">
        <v>45663</v>
      </c>
      <c r="C182" t="s">
        <v>131</v>
      </c>
      <c r="D182" t="s">
        <v>132</v>
      </c>
      <c r="E182" t="s">
        <v>54</v>
      </c>
      <c r="F182" t="s">
        <v>55</v>
      </c>
      <c r="G182" t="s">
        <v>21</v>
      </c>
      <c r="H182">
        <v>5</v>
      </c>
      <c r="I182">
        <v>149.99</v>
      </c>
      <c r="J182" t="s">
        <v>36</v>
      </c>
      <c r="K182" t="s">
        <v>65</v>
      </c>
      <c r="L182" t="s">
        <v>29</v>
      </c>
      <c r="M182" s="7">
        <v>44824</v>
      </c>
      <c r="N182">
        <v>749.95</v>
      </c>
      <c r="P182">
        <v>2025</v>
      </c>
      <c r="Q182" t="str">
        <v>January</v>
      </c>
      <c r="R182" s="7">
        <f t="shared" si="4"/>
        <v>45716</v>
      </c>
      <c r="S182" s="8">
        <f t="shared" si="5"/>
        <v>1096</v>
      </c>
    </row>
    <row r="183" spans="1:19">
      <c r="A183" t="s">
        <v>330</v>
      </c>
      <c r="B183" s="7">
        <v>45663</v>
      </c>
      <c r="C183" t="s">
        <v>44</v>
      </c>
      <c r="D183" t="s">
        <v>45</v>
      </c>
      <c r="E183" t="s">
        <v>107</v>
      </c>
      <c r="F183" t="s">
        <v>108</v>
      </c>
      <c r="G183" t="s">
        <v>48</v>
      </c>
      <c r="H183">
        <v>3</v>
      </c>
      <c r="I183">
        <v>299.99</v>
      </c>
      <c r="J183" t="s">
        <v>22</v>
      </c>
      <c r="K183" t="s">
        <v>37</v>
      </c>
      <c r="L183" t="s">
        <v>38</v>
      </c>
      <c r="M183" s="7">
        <v>44422</v>
      </c>
      <c r="N183">
        <v>899.97</v>
      </c>
      <c r="P183">
        <v>2025</v>
      </c>
      <c r="Q183" t="str">
        <v>January</v>
      </c>
      <c r="R183" s="7">
        <f t="shared" si="4"/>
        <v>45716</v>
      </c>
      <c r="S183" s="8">
        <f t="shared" si="5"/>
        <v>909</v>
      </c>
    </row>
    <row r="184" spans="1:19">
      <c r="A184" t="s">
        <v>331</v>
      </c>
      <c r="B184" s="7">
        <v>45666</v>
      </c>
      <c r="C184" t="s">
        <v>67</v>
      </c>
      <c r="D184" t="s">
        <v>68</v>
      </c>
      <c r="E184" t="s">
        <v>82</v>
      </c>
      <c r="F184" t="s">
        <v>83</v>
      </c>
      <c r="G184" t="s">
        <v>21</v>
      </c>
      <c r="H184">
        <v>3</v>
      </c>
      <c r="I184">
        <v>699.99</v>
      </c>
      <c r="J184" t="s">
        <v>28</v>
      </c>
      <c r="K184" t="s">
        <v>23</v>
      </c>
      <c r="L184" t="s">
        <v>29</v>
      </c>
      <c r="M184" s="7">
        <v>45105</v>
      </c>
      <c r="N184">
        <v>2099.9699999999998</v>
      </c>
      <c r="P184">
        <v>2025</v>
      </c>
      <c r="Q184" t="str">
        <v>January</v>
      </c>
      <c r="R184" s="7">
        <f t="shared" si="4"/>
        <v>45716</v>
      </c>
      <c r="S184" s="8">
        <f t="shared" si="5"/>
        <v>839</v>
      </c>
    </row>
    <row r="185" spans="1:19">
      <c r="A185" t="s">
        <v>332</v>
      </c>
      <c r="B185" s="7">
        <v>45667</v>
      </c>
      <c r="C185" t="s">
        <v>110</v>
      </c>
      <c r="D185" t="s">
        <v>111</v>
      </c>
      <c r="E185" t="s">
        <v>128</v>
      </c>
      <c r="F185" t="s">
        <v>129</v>
      </c>
      <c r="G185" t="s">
        <v>48</v>
      </c>
      <c r="H185">
        <v>5</v>
      </c>
      <c r="I185">
        <v>199.99</v>
      </c>
      <c r="J185" t="s">
        <v>36</v>
      </c>
      <c r="K185" t="s">
        <v>23</v>
      </c>
      <c r="L185" t="s">
        <v>38</v>
      </c>
      <c r="M185" s="7">
        <v>44633</v>
      </c>
      <c r="N185">
        <v>999.95</v>
      </c>
      <c r="P185">
        <v>2025</v>
      </c>
      <c r="Q185" t="str">
        <v>January</v>
      </c>
      <c r="R185" s="7">
        <f t="shared" si="4"/>
        <v>45716</v>
      </c>
      <c r="S185" s="8">
        <f t="shared" si="5"/>
        <v>1241</v>
      </c>
    </row>
    <row r="186" spans="1:19">
      <c r="A186" t="s">
        <v>333</v>
      </c>
      <c r="B186" s="7">
        <v>45667</v>
      </c>
      <c r="C186" t="s">
        <v>95</v>
      </c>
      <c r="D186" t="s">
        <v>96</v>
      </c>
      <c r="E186" t="s">
        <v>19</v>
      </c>
      <c r="F186" t="s">
        <v>20</v>
      </c>
      <c r="G186" t="s">
        <v>21</v>
      </c>
      <c r="H186">
        <v>5</v>
      </c>
      <c r="I186">
        <v>249.99</v>
      </c>
      <c r="J186" t="s">
        <v>28</v>
      </c>
      <c r="K186" t="s">
        <v>37</v>
      </c>
      <c r="L186" t="s">
        <v>24</v>
      </c>
      <c r="M186" s="7">
        <v>45330</v>
      </c>
      <c r="N186">
        <v>1249.95</v>
      </c>
      <c r="P186">
        <v>2025</v>
      </c>
      <c r="Q186" t="str">
        <v>January</v>
      </c>
      <c r="R186" s="7">
        <f t="shared" si="4"/>
        <v>45716</v>
      </c>
      <c r="S186" s="8">
        <f t="shared" si="5"/>
        <v>561</v>
      </c>
    </row>
    <row r="187" spans="1:19">
      <c r="A187" t="s">
        <v>334</v>
      </c>
      <c r="B187" s="7">
        <v>45668</v>
      </c>
      <c r="C187" t="s">
        <v>140</v>
      </c>
      <c r="D187" t="s">
        <v>141</v>
      </c>
      <c r="E187" t="s">
        <v>54</v>
      </c>
      <c r="F187" t="s">
        <v>55</v>
      </c>
      <c r="G187" t="s">
        <v>21</v>
      </c>
      <c r="H187">
        <v>4</v>
      </c>
      <c r="I187">
        <v>149.99</v>
      </c>
      <c r="J187" t="s">
        <v>59</v>
      </c>
      <c r="K187" t="s">
        <v>65</v>
      </c>
      <c r="L187" t="s">
        <v>38</v>
      </c>
      <c r="M187" s="7">
        <v>44536</v>
      </c>
      <c r="N187">
        <v>599.96</v>
      </c>
      <c r="P187">
        <v>2025</v>
      </c>
      <c r="Q187" t="str">
        <v>January</v>
      </c>
      <c r="R187" s="7">
        <f t="shared" si="4"/>
        <v>45716</v>
      </c>
      <c r="S187" s="8">
        <f t="shared" si="5"/>
        <v>1034</v>
      </c>
    </row>
    <row r="188" spans="1:19">
      <c r="A188" t="s">
        <v>335</v>
      </c>
      <c r="B188" s="7">
        <v>45668</v>
      </c>
      <c r="C188" t="s">
        <v>80</v>
      </c>
      <c r="D188" t="s">
        <v>81</v>
      </c>
      <c r="E188" t="s">
        <v>82</v>
      </c>
      <c r="F188" t="s">
        <v>83</v>
      </c>
      <c r="G188" t="s">
        <v>21</v>
      </c>
      <c r="H188">
        <v>3</v>
      </c>
      <c r="I188">
        <v>699.99</v>
      </c>
      <c r="J188" t="s">
        <v>22</v>
      </c>
      <c r="K188" t="s">
        <v>42</v>
      </c>
      <c r="L188" t="s">
        <v>29</v>
      </c>
      <c r="M188" s="7">
        <v>44602</v>
      </c>
      <c r="N188">
        <v>2099.9699999999998</v>
      </c>
      <c r="P188">
        <v>2025</v>
      </c>
      <c r="Q188" t="str">
        <v>January</v>
      </c>
      <c r="R188" s="7">
        <f t="shared" si="4"/>
        <v>45716</v>
      </c>
      <c r="S188" s="8">
        <f t="shared" si="5"/>
        <v>337</v>
      </c>
    </row>
    <row r="189" spans="1:19">
      <c r="A189" t="s">
        <v>336</v>
      </c>
      <c r="B189" s="7">
        <v>45670</v>
      </c>
      <c r="C189" t="s">
        <v>295</v>
      </c>
      <c r="D189" t="s">
        <v>296</v>
      </c>
      <c r="E189" t="s">
        <v>116</v>
      </c>
      <c r="F189" t="s">
        <v>117</v>
      </c>
      <c r="G189" t="s">
        <v>35</v>
      </c>
      <c r="H189">
        <v>1</v>
      </c>
      <c r="I189">
        <v>79.989999999999995</v>
      </c>
      <c r="J189" t="s">
        <v>28</v>
      </c>
      <c r="K189" t="s">
        <v>37</v>
      </c>
      <c r="L189" t="s">
        <v>24</v>
      </c>
      <c r="M189" s="7">
        <v>45322</v>
      </c>
      <c r="N189">
        <v>79.989999999999995</v>
      </c>
      <c r="P189">
        <v>2025</v>
      </c>
      <c r="Q189" t="str">
        <v>January</v>
      </c>
      <c r="R189" s="7">
        <f t="shared" si="4"/>
        <v>45716</v>
      </c>
      <c r="S189" s="8">
        <f t="shared" si="5"/>
        <v>1132</v>
      </c>
    </row>
    <row r="190" spans="1:19">
      <c r="A190" t="s">
        <v>337</v>
      </c>
      <c r="B190" s="7">
        <v>45670</v>
      </c>
      <c r="C190" t="s">
        <v>88</v>
      </c>
      <c r="D190" t="s">
        <v>89</v>
      </c>
      <c r="E190" t="s">
        <v>107</v>
      </c>
      <c r="F190" t="s">
        <v>108</v>
      </c>
      <c r="G190" t="s">
        <v>48</v>
      </c>
      <c r="H190">
        <v>1</v>
      </c>
      <c r="I190">
        <v>299.99</v>
      </c>
      <c r="J190" t="s">
        <v>28</v>
      </c>
      <c r="K190" t="s">
        <v>42</v>
      </c>
      <c r="L190" t="s">
        <v>24</v>
      </c>
      <c r="M190" s="7">
        <v>44436</v>
      </c>
      <c r="N190">
        <v>299.99</v>
      </c>
      <c r="P190">
        <v>2025</v>
      </c>
      <c r="Q190" t="str">
        <v>January</v>
      </c>
      <c r="R190" s="7">
        <f t="shared" si="4"/>
        <v>45716</v>
      </c>
      <c r="S190" s="8">
        <f t="shared" si="5"/>
        <v>1066</v>
      </c>
    </row>
    <row r="191" spans="1:19">
      <c r="A191" t="s">
        <v>338</v>
      </c>
      <c r="B191" s="7">
        <v>45671</v>
      </c>
      <c r="C191" t="s">
        <v>160</v>
      </c>
      <c r="D191" t="s">
        <v>161</v>
      </c>
      <c r="E191" t="s">
        <v>19</v>
      </c>
      <c r="F191" t="s">
        <v>20</v>
      </c>
      <c r="G191" t="s">
        <v>21</v>
      </c>
      <c r="H191">
        <v>4</v>
      </c>
      <c r="I191">
        <v>249.99</v>
      </c>
      <c r="J191" t="s">
        <v>28</v>
      </c>
      <c r="K191" t="s">
        <v>42</v>
      </c>
      <c r="L191" t="s">
        <v>29</v>
      </c>
      <c r="M191" s="7">
        <v>44460</v>
      </c>
      <c r="N191">
        <v>999.96</v>
      </c>
      <c r="P191">
        <v>2025</v>
      </c>
      <c r="Q191" t="str">
        <v>January</v>
      </c>
      <c r="R191" s="7">
        <f t="shared" si="4"/>
        <v>45716</v>
      </c>
      <c r="S191" s="8">
        <f t="shared" si="5"/>
        <v>348</v>
      </c>
    </row>
    <row r="192" spans="1:19">
      <c r="A192" t="s">
        <v>339</v>
      </c>
      <c r="B192" s="7">
        <v>45671</v>
      </c>
      <c r="C192" t="s">
        <v>122</v>
      </c>
      <c r="D192" t="s">
        <v>123</v>
      </c>
      <c r="E192" t="s">
        <v>54</v>
      </c>
      <c r="F192" t="s">
        <v>55</v>
      </c>
      <c r="G192" t="s">
        <v>21</v>
      </c>
      <c r="H192">
        <v>2</v>
      </c>
      <c r="I192">
        <v>149.99</v>
      </c>
      <c r="J192" t="s">
        <v>22</v>
      </c>
      <c r="K192" t="s">
        <v>42</v>
      </c>
      <c r="L192" t="s">
        <v>38</v>
      </c>
      <c r="M192" s="7">
        <v>44913</v>
      </c>
      <c r="N192">
        <v>299.98</v>
      </c>
      <c r="P192">
        <v>2025</v>
      </c>
      <c r="Q192" t="str">
        <v>January</v>
      </c>
      <c r="R192" s="7">
        <f t="shared" si="4"/>
        <v>45716</v>
      </c>
      <c r="S192" s="8">
        <f t="shared" si="5"/>
        <v>1234</v>
      </c>
    </row>
    <row r="193" spans="1:19">
      <c r="A193" t="s">
        <v>340</v>
      </c>
      <c r="B193" s="7">
        <v>45671</v>
      </c>
      <c r="C193" t="s">
        <v>236</v>
      </c>
      <c r="D193" t="s">
        <v>237</v>
      </c>
      <c r="E193" t="s">
        <v>107</v>
      </c>
      <c r="F193" t="s">
        <v>108</v>
      </c>
      <c r="G193" t="s">
        <v>48</v>
      </c>
      <c r="H193">
        <v>3</v>
      </c>
      <c r="I193">
        <v>299.99</v>
      </c>
      <c r="J193" t="s">
        <v>28</v>
      </c>
      <c r="K193" t="s">
        <v>37</v>
      </c>
      <c r="L193" t="s">
        <v>24</v>
      </c>
      <c r="M193" s="7">
        <v>45204</v>
      </c>
      <c r="N193">
        <v>899.97</v>
      </c>
      <c r="P193">
        <v>2025</v>
      </c>
      <c r="Q193" t="str">
        <v>January</v>
      </c>
      <c r="R193" s="7">
        <f t="shared" si="4"/>
        <v>45716</v>
      </c>
      <c r="S193" s="8">
        <f t="shared" si="5"/>
        <v>1211</v>
      </c>
    </row>
    <row r="194" spans="1:19">
      <c r="A194" t="s">
        <v>341</v>
      </c>
      <c r="B194" s="7">
        <v>45673</v>
      </c>
      <c r="C194" t="s">
        <v>228</v>
      </c>
      <c r="D194" t="s">
        <v>229</v>
      </c>
      <c r="E194" t="s">
        <v>128</v>
      </c>
      <c r="F194" t="s">
        <v>129</v>
      </c>
      <c r="G194" t="s">
        <v>48</v>
      </c>
      <c r="H194">
        <v>4</v>
      </c>
      <c r="I194">
        <v>199.99</v>
      </c>
      <c r="J194" t="s">
        <v>59</v>
      </c>
      <c r="K194" t="s">
        <v>37</v>
      </c>
      <c r="L194" t="s">
        <v>38</v>
      </c>
      <c r="M194" s="7">
        <v>44544</v>
      </c>
      <c r="N194">
        <v>799.96</v>
      </c>
      <c r="P194">
        <v>2025</v>
      </c>
      <c r="Q194" t="str">
        <v>January</v>
      </c>
      <c r="R194" s="7">
        <f t="shared" si="4"/>
        <v>45716</v>
      </c>
      <c r="S194" s="8">
        <f t="shared" si="5"/>
        <v>758</v>
      </c>
    </row>
    <row r="195" spans="1:19">
      <c r="A195" t="s">
        <v>342</v>
      </c>
      <c r="B195" s="7">
        <v>45673</v>
      </c>
      <c r="C195" t="s">
        <v>213</v>
      </c>
      <c r="D195" t="s">
        <v>214</v>
      </c>
      <c r="E195" t="s">
        <v>107</v>
      </c>
      <c r="F195" t="s">
        <v>108</v>
      </c>
      <c r="G195" t="s">
        <v>48</v>
      </c>
      <c r="H195">
        <v>5</v>
      </c>
      <c r="I195">
        <v>299.99</v>
      </c>
      <c r="J195" t="s">
        <v>59</v>
      </c>
      <c r="K195" t="s">
        <v>23</v>
      </c>
      <c r="L195" t="s">
        <v>24</v>
      </c>
      <c r="M195" s="7">
        <v>44431</v>
      </c>
      <c r="N195">
        <v>1499.95</v>
      </c>
      <c r="P195">
        <v>2025</v>
      </c>
      <c r="Q195" t="str">
        <v>January</v>
      </c>
      <c r="R195" s="7">
        <f t="shared" si="4"/>
        <v>45716</v>
      </c>
      <c r="S195" s="8">
        <f t="shared" si="5"/>
        <v>467</v>
      </c>
    </row>
    <row r="196" spans="1:19">
      <c r="A196" t="s">
        <v>343</v>
      </c>
      <c r="B196" s="7">
        <v>45673</v>
      </c>
      <c r="C196" t="s">
        <v>61</v>
      </c>
      <c r="D196" t="s">
        <v>62</v>
      </c>
      <c r="E196" t="s">
        <v>46</v>
      </c>
      <c r="F196" t="s">
        <v>47</v>
      </c>
      <c r="G196" t="s">
        <v>48</v>
      </c>
      <c r="H196">
        <v>3</v>
      </c>
      <c r="I196">
        <v>149.99</v>
      </c>
      <c r="J196" t="s">
        <v>28</v>
      </c>
      <c r="K196" t="s">
        <v>65</v>
      </c>
      <c r="L196" t="s">
        <v>38</v>
      </c>
      <c r="M196" s="7">
        <v>44395</v>
      </c>
      <c r="N196">
        <v>449.97</v>
      </c>
      <c r="P196">
        <v>2025</v>
      </c>
      <c r="Q196" t="str">
        <v>January</v>
      </c>
      <c r="R196" s="7">
        <f t="shared" si="4"/>
        <v>45716</v>
      </c>
      <c r="S196" s="8">
        <f t="shared" si="5"/>
        <v>1129</v>
      </c>
    </row>
    <row r="197" spans="1:19">
      <c r="A197" t="s">
        <v>344</v>
      </c>
      <c r="B197" s="7">
        <v>45676</v>
      </c>
      <c r="C197" t="s">
        <v>131</v>
      </c>
      <c r="D197" t="s">
        <v>132</v>
      </c>
      <c r="E197" t="s">
        <v>33</v>
      </c>
      <c r="F197" t="s">
        <v>34</v>
      </c>
      <c r="G197" t="s">
        <v>35</v>
      </c>
      <c r="H197">
        <v>5</v>
      </c>
      <c r="I197">
        <v>59.99</v>
      </c>
      <c r="J197" t="s">
        <v>59</v>
      </c>
      <c r="K197" t="s">
        <v>65</v>
      </c>
      <c r="L197" t="s">
        <v>24</v>
      </c>
      <c r="M197" s="7">
        <v>44642</v>
      </c>
      <c r="N197">
        <v>299.95</v>
      </c>
      <c r="P197">
        <v>2025</v>
      </c>
      <c r="Q197" t="str">
        <v>January</v>
      </c>
      <c r="R197" s="7">
        <f t="shared" ref="R197:R253" si="6">EOMONTH(B195,MONTH(B195))</f>
        <v>45716</v>
      </c>
      <c r="S197" s="8">
        <f t="shared" ref="S197:S253" si="7">DATEDIF(M195,B195,"d")</f>
        <v>1242</v>
      </c>
    </row>
    <row r="198" spans="1:19">
      <c r="A198" t="s">
        <v>345</v>
      </c>
      <c r="B198" s="7">
        <v>45682</v>
      </c>
      <c r="C198" t="s">
        <v>70</v>
      </c>
      <c r="D198" t="s">
        <v>71</v>
      </c>
      <c r="E198" t="s">
        <v>33</v>
      </c>
      <c r="F198" t="s">
        <v>34</v>
      </c>
      <c r="G198" t="s">
        <v>35</v>
      </c>
      <c r="H198">
        <v>4</v>
      </c>
      <c r="I198">
        <v>59.99</v>
      </c>
      <c r="J198" t="s">
        <v>59</v>
      </c>
      <c r="K198" t="s">
        <v>65</v>
      </c>
      <c r="L198" t="s">
        <v>38</v>
      </c>
      <c r="M198" s="7">
        <v>44564</v>
      </c>
      <c r="N198">
        <v>239.96</v>
      </c>
      <c r="P198">
        <v>2025</v>
      </c>
      <c r="Q198" t="str">
        <v>January</v>
      </c>
      <c r="R198" s="7">
        <f t="shared" si="6"/>
        <v>45716</v>
      </c>
      <c r="S198" s="8">
        <f t="shared" si="7"/>
        <v>1278</v>
      </c>
    </row>
    <row r="199" spans="1:19">
      <c r="A199" t="s">
        <v>346</v>
      </c>
      <c r="B199" s="7">
        <v>45683</v>
      </c>
      <c r="C199" t="s">
        <v>50</v>
      </c>
      <c r="D199" t="s">
        <v>51</v>
      </c>
      <c r="E199" t="s">
        <v>19</v>
      </c>
      <c r="F199" t="s">
        <v>20</v>
      </c>
      <c r="G199" t="s">
        <v>21</v>
      </c>
      <c r="H199">
        <v>4</v>
      </c>
      <c r="I199">
        <v>249.99</v>
      </c>
      <c r="J199" t="s">
        <v>59</v>
      </c>
      <c r="K199" t="s">
        <v>23</v>
      </c>
      <c r="L199" t="s">
        <v>29</v>
      </c>
      <c r="M199" s="7">
        <v>45217</v>
      </c>
      <c r="N199">
        <v>999.96</v>
      </c>
      <c r="P199">
        <v>2025</v>
      </c>
      <c r="Q199" t="str">
        <v>January</v>
      </c>
      <c r="R199" s="7">
        <f t="shared" si="6"/>
        <v>45716</v>
      </c>
      <c r="S199" s="8">
        <f t="shared" si="7"/>
        <v>1034</v>
      </c>
    </row>
    <row r="200" spans="1:19">
      <c r="A200" t="s">
        <v>347</v>
      </c>
      <c r="B200" s="7">
        <v>45686</v>
      </c>
      <c r="C200" t="s">
        <v>254</v>
      </c>
      <c r="D200" t="s">
        <v>255</v>
      </c>
      <c r="E200" t="s">
        <v>63</v>
      </c>
      <c r="F200" t="s">
        <v>64</v>
      </c>
      <c r="G200" t="s">
        <v>21</v>
      </c>
      <c r="H200">
        <v>4</v>
      </c>
      <c r="I200">
        <v>899.99</v>
      </c>
      <c r="J200" t="s">
        <v>36</v>
      </c>
      <c r="K200" t="s">
        <v>23</v>
      </c>
      <c r="L200" t="s">
        <v>24</v>
      </c>
      <c r="M200" s="7">
        <v>44734</v>
      </c>
      <c r="N200">
        <v>3599.96</v>
      </c>
      <c r="P200">
        <v>2025</v>
      </c>
      <c r="Q200" t="str">
        <v>January</v>
      </c>
      <c r="R200" s="7">
        <f t="shared" si="6"/>
        <v>45716</v>
      </c>
      <c r="S200" s="8">
        <f t="shared" si="7"/>
        <v>1118</v>
      </c>
    </row>
    <row r="201" spans="1:19">
      <c r="A201" t="s">
        <v>348</v>
      </c>
      <c r="B201" s="7">
        <v>45686</v>
      </c>
      <c r="C201" t="s">
        <v>88</v>
      </c>
      <c r="D201" t="s">
        <v>89</v>
      </c>
      <c r="E201" t="s">
        <v>107</v>
      </c>
      <c r="F201" t="s">
        <v>108</v>
      </c>
      <c r="G201" t="s">
        <v>48</v>
      </c>
      <c r="H201">
        <v>3</v>
      </c>
      <c r="I201">
        <v>299.99</v>
      </c>
      <c r="J201" t="s">
        <v>59</v>
      </c>
      <c r="K201" t="s">
        <v>52</v>
      </c>
      <c r="L201" t="s">
        <v>38</v>
      </c>
      <c r="M201" s="7">
        <v>44952</v>
      </c>
      <c r="N201">
        <v>899.97</v>
      </c>
      <c r="P201">
        <v>2025</v>
      </c>
      <c r="Q201" t="str">
        <v>January</v>
      </c>
      <c r="R201" s="7">
        <f t="shared" si="6"/>
        <v>45716</v>
      </c>
      <c r="S201" s="8">
        <f t="shared" si="7"/>
        <v>466</v>
      </c>
    </row>
    <row r="202" spans="1:19">
      <c r="A202" t="s">
        <v>349</v>
      </c>
      <c r="B202" s="7">
        <v>45686</v>
      </c>
      <c r="C202" t="s">
        <v>295</v>
      </c>
      <c r="D202" t="s">
        <v>296</v>
      </c>
      <c r="E202" t="s">
        <v>82</v>
      </c>
      <c r="F202" t="s">
        <v>83</v>
      </c>
      <c r="G202" t="s">
        <v>21</v>
      </c>
      <c r="H202">
        <v>2</v>
      </c>
      <c r="I202">
        <v>699.99</v>
      </c>
      <c r="J202" t="s">
        <v>59</v>
      </c>
      <c r="K202" t="s">
        <v>23</v>
      </c>
      <c r="L202" t="s">
        <v>29</v>
      </c>
      <c r="M202" s="7">
        <v>44681</v>
      </c>
      <c r="N202">
        <v>1399.98</v>
      </c>
      <c r="P202">
        <v>2025</v>
      </c>
      <c r="Q202" t="str">
        <v>January</v>
      </c>
      <c r="R202" s="7">
        <f t="shared" si="6"/>
        <v>45716</v>
      </c>
      <c r="S202" s="8">
        <f t="shared" si="7"/>
        <v>952</v>
      </c>
    </row>
    <row r="203" spans="1:19">
      <c r="A203" t="s">
        <v>350</v>
      </c>
      <c r="B203" s="7">
        <v>45688</v>
      </c>
      <c r="C203" t="s">
        <v>67</v>
      </c>
      <c r="D203" t="s">
        <v>68</v>
      </c>
      <c r="E203" t="s">
        <v>82</v>
      </c>
      <c r="F203" t="s">
        <v>83</v>
      </c>
      <c r="G203" t="s">
        <v>21</v>
      </c>
      <c r="H203">
        <v>4</v>
      </c>
      <c r="I203">
        <v>699.99</v>
      </c>
      <c r="J203" t="s">
        <v>59</v>
      </c>
      <c r="K203" t="s">
        <v>52</v>
      </c>
      <c r="L203" t="s">
        <v>29</v>
      </c>
      <c r="M203" s="7">
        <v>44692</v>
      </c>
      <c r="N203">
        <v>2799.96</v>
      </c>
      <c r="P203">
        <v>2025</v>
      </c>
      <c r="Q203" t="str">
        <v>January</v>
      </c>
      <c r="R203" s="7">
        <f t="shared" si="6"/>
        <v>45716</v>
      </c>
      <c r="S203" s="8">
        <f t="shared" si="7"/>
        <v>734</v>
      </c>
    </row>
    <row r="204" spans="1:19">
      <c r="A204" t="s">
        <v>351</v>
      </c>
      <c r="B204" s="7">
        <v>45688</v>
      </c>
      <c r="C204" t="s">
        <v>125</v>
      </c>
      <c r="D204" t="s">
        <v>126</v>
      </c>
      <c r="E204" t="s">
        <v>119</v>
      </c>
      <c r="F204" t="s">
        <v>120</v>
      </c>
      <c r="G204" t="s">
        <v>21</v>
      </c>
      <c r="H204">
        <v>2</v>
      </c>
      <c r="I204">
        <v>89.99</v>
      </c>
      <c r="J204" t="s">
        <v>59</v>
      </c>
      <c r="K204" t="s">
        <v>37</v>
      </c>
      <c r="L204" t="s">
        <v>24</v>
      </c>
      <c r="M204" s="7">
        <v>44777</v>
      </c>
      <c r="N204">
        <v>179.98</v>
      </c>
      <c r="P204">
        <v>2025</v>
      </c>
      <c r="Q204" t="str">
        <v>January</v>
      </c>
      <c r="R204" s="7">
        <f t="shared" si="6"/>
        <v>45716</v>
      </c>
      <c r="S204" s="8">
        <f t="shared" si="7"/>
        <v>1005</v>
      </c>
    </row>
    <row r="205" spans="1:19">
      <c r="A205" t="s">
        <v>352</v>
      </c>
      <c r="B205" s="7">
        <v>45688</v>
      </c>
      <c r="C205" t="s">
        <v>44</v>
      </c>
      <c r="D205" t="s">
        <v>45</v>
      </c>
      <c r="E205" t="s">
        <v>119</v>
      </c>
      <c r="F205" t="s">
        <v>120</v>
      </c>
      <c r="G205" t="s">
        <v>21</v>
      </c>
      <c r="H205">
        <v>3</v>
      </c>
      <c r="I205">
        <v>89.99</v>
      </c>
      <c r="J205" t="s">
        <v>59</v>
      </c>
      <c r="K205" t="s">
        <v>37</v>
      </c>
      <c r="L205" t="s">
        <v>29</v>
      </c>
      <c r="M205" s="7">
        <v>45307</v>
      </c>
      <c r="N205">
        <v>269.97000000000003</v>
      </c>
      <c r="P205">
        <v>2025</v>
      </c>
      <c r="Q205" t="str">
        <v>January</v>
      </c>
      <c r="R205" s="7">
        <f t="shared" si="6"/>
        <v>45716</v>
      </c>
      <c r="S205" s="8">
        <f t="shared" si="7"/>
        <v>996</v>
      </c>
    </row>
    <row r="206" spans="1:19">
      <c r="A206" t="s">
        <v>353</v>
      </c>
      <c r="B206" s="7">
        <v>45692</v>
      </c>
      <c r="C206" t="s">
        <v>327</v>
      </c>
      <c r="D206" t="s">
        <v>328</v>
      </c>
      <c r="E206" t="s">
        <v>33</v>
      </c>
      <c r="F206" t="s">
        <v>34</v>
      </c>
      <c r="G206" t="s">
        <v>35</v>
      </c>
      <c r="H206">
        <v>1</v>
      </c>
      <c r="I206">
        <v>59.99</v>
      </c>
      <c r="J206" t="s">
        <v>59</v>
      </c>
      <c r="K206" t="s">
        <v>23</v>
      </c>
      <c r="L206" t="s">
        <v>38</v>
      </c>
      <c r="M206" s="7">
        <v>45045</v>
      </c>
      <c r="N206">
        <v>59.99</v>
      </c>
      <c r="P206">
        <v>2025</v>
      </c>
      <c r="Q206" t="str">
        <v>January</v>
      </c>
      <c r="R206" s="7">
        <f t="shared" si="6"/>
        <v>45716</v>
      </c>
      <c r="S206" s="8">
        <f t="shared" si="7"/>
        <v>911</v>
      </c>
    </row>
    <row r="207" spans="1:19">
      <c r="A207" t="s">
        <v>354</v>
      </c>
      <c r="B207" s="7">
        <v>45695</v>
      </c>
      <c r="C207" t="s">
        <v>248</v>
      </c>
      <c r="D207" t="s">
        <v>249</v>
      </c>
      <c r="E207" t="s">
        <v>46</v>
      </c>
      <c r="F207" t="s">
        <v>47</v>
      </c>
      <c r="G207" t="s">
        <v>48</v>
      </c>
      <c r="H207">
        <v>3</v>
      </c>
      <c r="I207">
        <v>149.99</v>
      </c>
      <c r="J207" t="s">
        <v>59</v>
      </c>
      <c r="K207" t="s">
        <v>42</v>
      </c>
      <c r="L207" t="s">
        <v>29</v>
      </c>
      <c r="M207" s="7">
        <v>44564</v>
      </c>
      <c r="N207">
        <v>449.97</v>
      </c>
      <c r="P207">
        <v>2025</v>
      </c>
      <c r="Q207" t="str">
        <v>January</v>
      </c>
      <c r="R207" s="7">
        <f t="shared" si="6"/>
        <v>45716</v>
      </c>
      <c r="S207" s="8">
        <f t="shared" si="7"/>
        <v>381</v>
      </c>
    </row>
    <row r="208" spans="1:19">
      <c r="A208" t="s">
        <v>355</v>
      </c>
      <c r="B208" s="7">
        <v>45695</v>
      </c>
      <c r="C208" t="s">
        <v>95</v>
      </c>
      <c r="D208" t="s">
        <v>96</v>
      </c>
      <c r="E208" t="s">
        <v>107</v>
      </c>
      <c r="F208" t="s">
        <v>108</v>
      </c>
      <c r="G208" t="s">
        <v>48</v>
      </c>
      <c r="H208">
        <v>5</v>
      </c>
      <c r="I208">
        <v>299.99</v>
      </c>
      <c r="J208" t="s">
        <v>28</v>
      </c>
      <c r="K208" t="s">
        <v>37</v>
      </c>
      <c r="L208" t="s">
        <v>24</v>
      </c>
      <c r="M208" s="7">
        <v>44959</v>
      </c>
      <c r="N208">
        <v>1499.95</v>
      </c>
      <c r="P208">
        <v>2025</v>
      </c>
      <c r="Q208" t="str">
        <v>February</v>
      </c>
      <c r="R208" s="7">
        <f t="shared" si="6"/>
        <v>45777</v>
      </c>
      <c r="S208" s="8">
        <f t="shared" si="7"/>
        <v>647</v>
      </c>
    </row>
    <row r="209" spans="1:19">
      <c r="A209" t="s">
        <v>356</v>
      </c>
      <c r="B209" s="7">
        <v>45696</v>
      </c>
      <c r="C209" t="s">
        <v>152</v>
      </c>
      <c r="D209" t="s">
        <v>153</v>
      </c>
      <c r="E209" t="s">
        <v>33</v>
      </c>
      <c r="F209" t="s">
        <v>34</v>
      </c>
      <c r="G209" t="s">
        <v>35</v>
      </c>
      <c r="H209">
        <v>5</v>
      </c>
      <c r="I209">
        <v>59.99</v>
      </c>
      <c r="J209" t="s">
        <v>59</v>
      </c>
      <c r="K209" t="s">
        <v>23</v>
      </c>
      <c r="L209" t="s">
        <v>38</v>
      </c>
      <c r="M209" s="7">
        <v>45177</v>
      </c>
      <c r="N209">
        <v>299.95</v>
      </c>
      <c r="P209">
        <v>2025</v>
      </c>
      <c r="Q209" t="str">
        <v>February</v>
      </c>
      <c r="R209" s="7">
        <f t="shared" si="6"/>
        <v>45777</v>
      </c>
      <c r="S209" s="8">
        <f t="shared" si="7"/>
        <v>1131</v>
      </c>
    </row>
    <row r="210" spans="1:19">
      <c r="A210" t="s">
        <v>357</v>
      </c>
      <c r="B210" s="7">
        <v>45701</v>
      </c>
      <c r="C210" t="s">
        <v>110</v>
      </c>
      <c r="D210" t="s">
        <v>111</v>
      </c>
      <c r="E210" t="s">
        <v>116</v>
      </c>
      <c r="F210" t="s">
        <v>117</v>
      </c>
      <c r="G210" t="s">
        <v>35</v>
      </c>
      <c r="H210">
        <v>3</v>
      </c>
      <c r="I210">
        <v>79.989999999999995</v>
      </c>
      <c r="J210" t="s">
        <v>22</v>
      </c>
      <c r="K210" t="s">
        <v>65</v>
      </c>
      <c r="L210" t="s">
        <v>29</v>
      </c>
      <c r="M210" s="7">
        <v>44436</v>
      </c>
      <c r="N210">
        <v>239.97</v>
      </c>
      <c r="P210">
        <v>2025</v>
      </c>
      <c r="Q210" t="str">
        <v>February</v>
      </c>
      <c r="R210" s="7">
        <f t="shared" si="6"/>
        <v>45777</v>
      </c>
      <c r="S210" s="8">
        <f t="shared" si="7"/>
        <v>736</v>
      </c>
    </row>
    <row r="211" spans="1:19">
      <c r="A211" t="s">
        <v>358</v>
      </c>
      <c r="B211" s="7">
        <v>45704</v>
      </c>
      <c r="C211" t="s">
        <v>31</v>
      </c>
      <c r="D211" t="s">
        <v>32</v>
      </c>
      <c r="E211" t="s">
        <v>128</v>
      </c>
      <c r="F211" t="s">
        <v>129</v>
      </c>
      <c r="G211" t="s">
        <v>48</v>
      </c>
      <c r="H211">
        <v>3</v>
      </c>
      <c r="I211">
        <v>199.99</v>
      </c>
      <c r="J211" t="s">
        <v>22</v>
      </c>
      <c r="K211" t="s">
        <v>23</v>
      </c>
      <c r="L211" t="s">
        <v>24</v>
      </c>
      <c r="M211" s="7">
        <v>44735</v>
      </c>
      <c r="N211">
        <v>599.97</v>
      </c>
      <c r="P211">
        <v>2025</v>
      </c>
      <c r="Q211" t="str">
        <v>February</v>
      </c>
      <c r="R211" s="7">
        <f t="shared" si="6"/>
        <v>45777</v>
      </c>
      <c r="S211" s="8">
        <f t="shared" si="7"/>
        <v>519</v>
      </c>
    </row>
    <row r="212" spans="1:19">
      <c r="A212" t="s">
        <v>359</v>
      </c>
      <c r="B212" s="7">
        <v>45704</v>
      </c>
      <c r="C212" t="s">
        <v>17</v>
      </c>
      <c r="D212" t="s">
        <v>18</v>
      </c>
      <c r="E212" t="s">
        <v>119</v>
      </c>
      <c r="F212" t="s">
        <v>120</v>
      </c>
      <c r="G212" t="s">
        <v>21</v>
      </c>
      <c r="H212">
        <v>2</v>
      </c>
      <c r="I212">
        <v>89.99</v>
      </c>
      <c r="J212" t="s">
        <v>36</v>
      </c>
      <c r="K212" t="s">
        <v>23</v>
      </c>
      <c r="L212" t="s">
        <v>24</v>
      </c>
      <c r="M212" s="7">
        <v>45257</v>
      </c>
      <c r="N212">
        <v>179.98</v>
      </c>
      <c r="P212">
        <v>2025</v>
      </c>
      <c r="Q212" t="str">
        <v>February</v>
      </c>
      <c r="R212" s="7">
        <f t="shared" si="6"/>
        <v>45777</v>
      </c>
      <c r="S212" s="8">
        <f t="shared" si="7"/>
        <v>1265</v>
      </c>
    </row>
    <row r="213" spans="1:19">
      <c r="A213" t="s">
        <v>360</v>
      </c>
      <c r="B213" s="7">
        <v>45705</v>
      </c>
      <c r="C213" t="s">
        <v>261</v>
      </c>
      <c r="D213" t="s">
        <v>262</v>
      </c>
      <c r="E213" t="s">
        <v>46</v>
      </c>
      <c r="F213" t="s">
        <v>47</v>
      </c>
      <c r="G213" t="s">
        <v>48</v>
      </c>
      <c r="H213">
        <v>2</v>
      </c>
      <c r="I213">
        <v>149.99</v>
      </c>
      <c r="J213" t="s">
        <v>22</v>
      </c>
      <c r="K213" t="s">
        <v>37</v>
      </c>
      <c r="L213" t="s">
        <v>29</v>
      </c>
      <c r="M213" s="7">
        <v>44728</v>
      </c>
      <c r="N213">
        <v>299.98</v>
      </c>
      <c r="P213">
        <v>2025</v>
      </c>
      <c r="Q213" t="str">
        <v>February</v>
      </c>
      <c r="R213" s="7">
        <f t="shared" si="6"/>
        <v>45777</v>
      </c>
      <c r="S213" s="8">
        <f t="shared" si="7"/>
        <v>969</v>
      </c>
    </row>
    <row r="214" spans="1:19">
      <c r="A214" t="s">
        <v>361</v>
      </c>
      <c r="B214" s="7">
        <v>45707</v>
      </c>
      <c r="C214" t="s">
        <v>125</v>
      </c>
      <c r="D214" t="s">
        <v>126</v>
      </c>
      <c r="E214" t="s">
        <v>82</v>
      </c>
      <c r="F214" t="s">
        <v>83</v>
      </c>
      <c r="G214" t="s">
        <v>21</v>
      </c>
      <c r="H214">
        <v>5</v>
      </c>
      <c r="I214">
        <v>699.99</v>
      </c>
      <c r="J214" t="s">
        <v>36</v>
      </c>
      <c r="K214" t="s">
        <v>37</v>
      </c>
      <c r="L214" t="s">
        <v>29</v>
      </c>
      <c r="M214" s="7">
        <v>45352</v>
      </c>
      <c r="N214">
        <v>3499.95</v>
      </c>
      <c r="P214">
        <v>2025</v>
      </c>
      <c r="Q214" t="str">
        <v>February</v>
      </c>
      <c r="R214" s="7">
        <f t="shared" si="6"/>
        <v>45777</v>
      </c>
      <c r="S214" s="8">
        <f t="shared" si="7"/>
        <v>447</v>
      </c>
    </row>
    <row r="215" spans="1:19">
      <c r="A215" t="s">
        <v>362</v>
      </c>
      <c r="B215" s="7">
        <v>45707</v>
      </c>
      <c r="C215" t="s">
        <v>44</v>
      </c>
      <c r="D215" t="s">
        <v>45</v>
      </c>
      <c r="E215" t="s">
        <v>46</v>
      </c>
      <c r="F215" t="s">
        <v>47</v>
      </c>
      <c r="G215" t="s">
        <v>48</v>
      </c>
      <c r="H215">
        <v>3</v>
      </c>
      <c r="I215">
        <v>149.99</v>
      </c>
      <c r="J215" t="s">
        <v>36</v>
      </c>
      <c r="K215" t="s">
        <v>23</v>
      </c>
      <c r="L215" t="s">
        <v>38</v>
      </c>
      <c r="M215" s="7">
        <v>44633</v>
      </c>
      <c r="N215">
        <v>449.97</v>
      </c>
      <c r="P215">
        <v>2025</v>
      </c>
      <c r="Q215" t="str">
        <v>February</v>
      </c>
      <c r="R215" s="7">
        <f t="shared" si="6"/>
        <v>45777</v>
      </c>
      <c r="S215" s="8">
        <f t="shared" si="7"/>
        <v>977</v>
      </c>
    </row>
    <row r="216" spans="1:19">
      <c r="A216" t="s">
        <v>363</v>
      </c>
      <c r="B216" s="7">
        <v>45708</v>
      </c>
      <c r="C216" t="s">
        <v>98</v>
      </c>
      <c r="D216" t="s">
        <v>99</v>
      </c>
      <c r="E216" t="s">
        <v>63</v>
      </c>
      <c r="F216" t="s">
        <v>64</v>
      </c>
      <c r="G216" t="s">
        <v>21</v>
      </c>
      <c r="H216">
        <v>3</v>
      </c>
      <c r="I216">
        <v>899.99</v>
      </c>
      <c r="J216" t="s">
        <v>22</v>
      </c>
      <c r="K216" t="s">
        <v>65</v>
      </c>
      <c r="L216" t="s">
        <v>38</v>
      </c>
      <c r="M216" s="7">
        <v>44613</v>
      </c>
      <c r="N216">
        <v>2699.97</v>
      </c>
      <c r="P216">
        <v>2025</v>
      </c>
      <c r="Q216" t="str">
        <v>February</v>
      </c>
      <c r="R216" s="7">
        <f t="shared" si="6"/>
        <v>45777</v>
      </c>
      <c r="S216" s="8">
        <f t="shared" si="7"/>
        <v>355</v>
      </c>
    </row>
    <row r="217" spans="1:19">
      <c r="A217" t="s">
        <v>364</v>
      </c>
      <c r="B217" s="7">
        <v>45708</v>
      </c>
      <c r="C217" t="s">
        <v>194</v>
      </c>
      <c r="D217" t="s">
        <v>195</v>
      </c>
      <c r="E217" t="s">
        <v>128</v>
      </c>
      <c r="F217" t="s">
        <v>129</v>
      </c>
      <c r="G217" t="s">
        <v>48</v>
      </c>
      <c r="H217">
        <v>3</v>
      </c>
      <c r="I217">
        <v>199.99</v>
      </c>
      <c r="J217" t="s">
        <v>22</v>
      </c>
      <c r="K217" t="s">
        <v>52</v>
      </c>
      <c r="L217" t="s">
        <v>29</v>
      </c>
      <c r="M217" s="7">
        <v>44823</v>
      </c>
      <c r="N217">
        <v>599.97</v>
      </c>
      <c r="P217">
        <v>2025</v>
      </c>
      <c r="Q217" t="str">
        <v>February</v>
      </c>
      <c r="R217" s="7">
        <f t="shared" si="6"/>
        <v>45777</v>
      </c>
      <c r="S217" s="8">
        <f t="shared" si="7"/>
        <v>1074</v>
      </c>
    </row>
    <row r="218" spans="1:19">
      <c r="A218" t="s">
        <v>365</v>
      </c>
      <c r="B218" s="7">
        <v>45710</v>
      </c>
      <c r="C218" t="s">
        <v>57</v>
      </c>
      <c r="D218" t="s">
        <v>58</v>
      </c>
      <c r="E218" t="s">
        <v>107</v>
      </c>
      <c r="F218" t="s">
        <v>108</v>
      </c>
      <c r="G218" t="s">
        <v>48</v>
      </c>
      <c r="H218">
        <v>5</v>
      </c>
      <c r="I218">
        <v>299.99</v>
      </c>
      <c r="J218" t="s">
        <v>22</v>
      </c>
      <c r="K218" t="s">
        <v>52</v>
      </c>
      <c r="L218" t="s">
        <v>38</v>
      </c>
      <c r="M218" s="7">
        <v>45142</v>
      </c>
      <c r="N218">
        <v>1499.95</v>
      </c>
      <c r="P218">
        <v>2025</v>
      </c>
      <c r="Q218" t="str">
        <v>February</v>
      </c>
      <c r="R218" s="7">
        <f t="shared" si="6"/>
        <v>45777</v>
      </c>
      <c r="S218" s="8">
        <f t="shared" si="7"/>
        <v>1095</v>
      </c>
    </row>
    <row r="219" spans="1:19">
      <c r="A219" t="s">
        <v>366</v>
      </c>
      <c r="B219" s="7">
        <v>45710</v>
      </c>
      <c r="C219" t="s">
        <v>152</v>
      </c>
      <c r="D219" t="s">
        <v>153</v>
      </c>
      <c r="E219" t="s">
        <v>82</v>
      </c>
      <c r="F219" t="s">
        <v>83</v>
      </c>
      <c r="G219" t="s">
        <v>21</v>
      </c>
      <c r="H219">
        <v>1</v>
      </c>
      <c r="I219">
        <v>699.99</v>
      </c>
      <c r="J219" t="s">
        <v>36</v>
      </c>
      <c r="K219" t="s">
        <v>52</v>
      </c>
      <c r="L219" t="s">
        <v>24</v>
      </c>
      <c r="M219" s="7">
        <v>44934</v>
      </c>
      <c r="N219">
        <v>699.99</v>
      </c>
      <c r="P219">
        <v>2025</v>
      </c>
      <c r="Q219" t="str">
        <v>February</v>
      </c>
      <c r="R219" s="7">
        <f t="shared" si="6"/>
        <v>45777</v>
      </c>
      <c r="S219" s="8">
        <f t="shared" si="7"/>
        <v>885</v>
      </c>
    </row>
    <row r="220" spans="1:19">
      <c r="A220" t="s">
        <v>367</v>
      </c>
      <c r="B220" s="7">
        <v>45711</v>
      </c>
      <c r="C220" t="s">
        <v>248</v>
      </c>
      <c r="D220" t="s">
        <v>249</v>
      </c>
      <c r="E220" t="s">
        <v>82</v>
      </c>
      <c r="F220" t="s">
        <v>83</v>
      </c>
      <c r="G220" t="s">
        <v>21</v>
      </c>
      <c r="H220">
        <v>1</v>
      </c>
      <c r="I220">
        <v>699.99</v>
      </c>
      <c r="J220" t="s">
        <v>22</v>
      </c>
      <c r="K220" t="s">
        <v>42</v>
      </c>
      <c r="L220" t="s">
        <v>29</v>
      </c>
      <c r="M220" s="7">
        <v>44583</v>
      </c>
      <c r="N220">
        <v>699.99</v>
      </c>
      <c r="P220">
        <v>2025</v>
      </c>
      <c r="Q220" t="str">
        <v>February</v>
      </c>
      <c r="R220" s="7">
        <f t="shared" si="6"/>
        <v>45777</v>
      </c>
      <c r="S220" s="8">
        <f t="shared" si="7"/>
        <v>568</v>
      </c>
    </row>
    <row r="221" spans="1:19">
      <c r="A221" t="s">
        <v>368</v>
      </c>
      <c r="B221" s="7">
        <v>45711</v>
      </c>
      <c r="C221" t="s">
        <v>327</v>
      </c>
      <c r="D221" t="s">
        <v>328</v>
      </c>
      <c r="E221" t="s">
        <v>46</v>
      </c>
      <c r="F221" t="s">
        <v>47</v>
      </c>
      <c r="G221" t="s">
        <v>48</v>
      </c>
      <c r="H221">
        <v>4</v>
      </c>
      <c r="I221">
        <v>149.99</v>
      </c>
      <c r="J221" t="s">
        <v>36</v>
      </c>
      <c r="K221" t="s">
        <v>42</v>
      </c>
      <c r="L221" t="s">
        <v>29</v>
      </c>
      <c r="M221" s="7">
        <v>44412</v>
      </c>
      <c r="N221">
        <v>599.96</v>
      </c>
      <c r="P221">
        <v>2025</v>
      </c>
      <c r="Q221" t="str">
        <v>February</v>
      </c>
      <c r="R221" s="7">
        <f t="shared" si="6"/>
        <v>45777</v>
      </c>
      <c r="S221" s="8">
        <f t="shared" si="7"/>
        <v>776</v>
      </c>
    </row>
    <row r="222" spans="1:19">
      <c r="A222" t="s">
        <v>369</v>
      </c>
      <c r="B222" s="7">
        <v>45711</v>
      </c>
      <c r="C222" t="s">
        <v>213</v>
      </c>
      <c r="D222" t="s">
        <v>214</v>
      </c>
      <c r="E222" t="s">
        <v>119</v>
      </c>
      <c r="F222" t="s">
        <v>120</v>
      </c>
      <c r="G222" t="s">
        <v>21</v>
      </c>
      <c r="H222">
        <v>5</v>
      </c>
      <c r="I222">
        <v>89.99</v>
      </c>
      <c r="J222" t="s">
        <v>36</v>
      </c>
      <c r="K222" t="s">
        <v>52</v>
      </c>
      <c r="L222" t="s">
        <v>29</v>
      </c>
      <c r="M222" s="7">
        <v>45140</v>
      </c>
      <c r="N222">
        <v>449.95</v>
      </c>
      <c r="P222">
        <v>2025</v>
      </c>
      <c r="Q222" t="str">
        <v>February</v>
      </c>
      <c r="R222" s="7">
        <f t="shared" si="6"/>
        <v>45777</v>
      </c>
      <c r="S222" s="8">
        <f t="shared" si="7"/>
        <v>1128</v>
      </c>
    </row>
    <row r="223" spans="1:19">
      <c r="A223" t="s">
        <v>370</v>
      </c>
      <c r="B223" s="7">
        <v>45712</v>
      </c>
      <c r="C223" t="s">
        <v>140</v>
      </c>
      <c r="D223" t="s">
        <v>141</v>
      </c>
      <c r="E223" t="s">
        <v>128</v>
      </c>
      <c r="F223" t="s">
        <v>129</v>
      </c>
      <c r="G223" t="s">
        <v>48</v>
      </c>
      <c r="H223">
        <v>2</v>
      </c>
      <c r="I223">
        <v>199.99</v>
      </c>
      <c r="J223" t="s">
        <v>22</v>
      </c>
      <c r="K223" t="s">
        <v>23</v>
      </c>
      <c r="L223" t="s">
        <v>29</v>
      </c>
      <c r="M223" s="7">
        <v>44573</v>
      </c>
      <c r="N223">
        <v>399.98</v>
      </c>
      <c r="P223">
        <v>2025</v>
      </c>
      <c r="Q223" t="str">
        <v>February</v>
      </c>
      <c r="R223" s="7">
        <f t="shared" si="6"/>
        <v>45777</v>
      </c>
      <c r="S223" s="8">
        <f t="shared" si="7"/>
        <v>1299</v>
      </c>
    </row>
    <row r="224" spans="1:19">
      <c r="A224" t="s">
        <v>371</v>
      </c>
      <c r="B224" s="7">
        <v>45715</v>
      </c>
      <c r="C224" t="s">
        <v>261</v>
      </c>
      <c r="D224" t="s">
        <v>262</v>
      </c>
      <c r="E224" t="s">
        <v>33</v>
      </c>
      <c r="F224" t="s">
        <v>34</v>
      </c>
      <c r="G224" t="s">
        <v>35</v>
      </c>
      <c r="H224">
        <v>4</v>
      </c>
      <c r="I224">
        <v>59.99</v>
      </c>
      <c r="J224" t="s">
        <v>22</v>
      </c>
      <c r="K224" t="s">
        <v>52</v>
      </c>
      <c r="L224" t="s">
        <v>38</v>
      </c>
      <c r="M224" s="7">
        <v>45070</v>
      </c>
      <c r="N224">
        <v>239.96</v>
      </c>
      <c r="P224">
        <v>2025</v>
      </c>
      <c r="Q224" t="str">
        <v>February</v>
      </c>
      <c r="R224" s="7">
        <f t="shared" si="6"/>
        <v>45777</v>
      </c>
      <c r="S224" s="8">
        <f t="shared" si="7"/>
        <v>571</v>
      </c>
    </row>
    <row r="225" spans="1:19">
      <c r="A225" t="s">
        <v>372</v>
      </c>
      <c r="B225" s="7">
        <v>45715</v>
      </c>
      <c r="C225" t="s">
        <v>95</v>
      </c>
      <c r="D225" t="s">
        <v>96</v>
      </c>
      <c r="E225" t="s">
        <v>107</v>
      </c>
      <c r="F225" t="s">
        <v>108</v>
      </c>
      <c r="G225" t="s">
        <v>48</v>
      </c>
      <c r="H225">
        <v>2</v>
      </c>
      <c r="I225">
        <v>299.99</v>
      </c>
      <c r="J225" t="s">
        <v>36</v>
      </c>
      <c r="K225" t="s">
        <v>37</v>
      </c>
      <c r="L225" t="s">
        <v>24</v>
      </c>
      <c r="M225" s="7">
        <v>44576</v>
      </c>
      <c r="N225">
        <v>599.98</v>
      </c>
      <c r="P225">
        <v>2025</v>
      </c>
      <c r="Q225" t="str">
        <v>February</v>
      </c>
      <c r="R225" s="7">
        <f t="shared" si="6"/>
        <v>45777</v>
      </c>
      <c r="S225" s="8">
        <f t="shared" si="7"/>
        <v>1139</v>
      </c>
    </row>
    <row r="226" spans="1:19">
      <c r="A226" t="s">
        <v>373</v>
      </c>
      <c r="B226" s="7">
        <v>45718</v>
      </c>
      <c r="C226" t="s">
        <v>57</v>
      </c>
      <c r="D226" t="s">
        <v>58</v>
      </c>
      <c r="E226" t="s">
        <v>46</v>
      </c>
      <c r="F226" t="s">
        <v>47</v>
      </c>
      <c r="G226" t="s">
        <v>48</v>
      </c>
      <c r="H226">
        <v>2</v>
      </c>
      <c r="I226">
        <v>149.99</v>
      </c>
      <c r="J226" t="s">
        <v>22</v>
      </c>
      <c r="K226" t="s">
        <v>23</v>
      </c>
      <c r="L226" t="s">
        <v>24</v>
      </c>
      <c r="M226" s="7">
        <v>45068</v>
      </c>
      <c r="N226">
        <v>299.98</v>
      </c>
      <c r="P226">
        <v>2025</v>
      </c>
      <c r="Q226" t="str">
        <v>February</v>
      </c>
      <c r="R226" s="7">
        <f t="shared" si="6"/>
        <v>45777</v>
      </c>
      <c r="S226" s="8">
        <f t="shared" si="7"/>
        <v>645</v>
      </c>
    </row>
    <row r="227" spans="1:19">
      <c r="A227" t="s">
        <v>374</v>
      </c>
      <c r="B227" s="7">
        <v>45720</v>
      </c>
      <c r="C227" t="s">
        <v>228</v>
      </c>
      <c r="D227" t="s">
        <v>229</v>
      </c>
      <c r="E227" t="s">
        <v>82</v>
      </c>
      <c r="F227" t="s">
        <v>83</v>
      </c>
      <c r="G227" t="s">
        <v>21</v>
      </c>
      <c r="H227">
        <v>5</v>
      </c>
      <c r="I227">
        <v>699.99</v>
      </c>
      <c r="J227" t="s">
        <v>59</v>
      </c>
      <c r="K227" t="s">
        <v>65</v>
      </c>
      <c r="L227" t="s">
        <v>29</v>
      </c>
      <c r="M227" s="7">
        <v>45161</v>
      </c>
      <c r="N227">
        <v>3499.95</v>
      </c>
      <c r="P227">
        <v>2025</v>
      </c>
      <c r="Q227" t="str">
        <v>February</v>
      </c>
      <c r="R227" s="7">
        <f t="shared" si="6"/>
        <v>45777</v>
      </c>
      <c r="S227" s="8">
        <f t="shared" si="7"/>
        <v>1139</v>
      </c>
    </row>
    <row r="228" spans="1:19">
      <c r="A228" t="s">
        <v>375</v>
      </c>
      <c r="B228" s="7">
        <v>45721</v>
      </c>
      <c r="C228" t="s">
        <v>77</v>
      </c>
      <c r="D228" t="s">
        <v>78</v>
      </c>
      <c r="E228" t="s">
        <v>33</v>
      </c>
      <c r="F228" t="s">
        <v>34</v>
      </c>
      <c r="G228" t="s">
        <v>35</v>
      </c>
      <c r="H228">
        <v>5</v>
      </c>
      <c r="I228">
        <v>59.99</v>
      </c>
      <c r="J228" t="s">
        <v>22</v>
      </c>
      <c r="K228" t="s">
        <v>52</v>
      </c>
      <c r="L228" t="s">
        <v>29</v>
      </c>
      <c r="M228" s="7">
        <v>45291</v>
      </c>
      <c r="N228">
        <v>299.95</v>
      </c>
      <c r="P228">
        <v>2025</v>
      </c>
      <c r="Q228" t="str">
        <v>March</v>
      </c>
      <c r="R228" s="7">
        <f t="shared" si="6"/>
        <v>45838</v>
      </c>
      <c r="S228" s="8">
        <f t="shared" si="7"/>
        <v>650</v>
      </c>
    </row>
    <row r="229" spans="1:19">
      <c r="A229" t="s">
        <v>376</v>
      </c>
      <c r="B229" s="7">
        <v>45723</v>
      </c>
      <c r="C229" t="s">
        <v>17</v>
      </c>
      <c r="D229" t="s">
        <v>18</v>
      </c>
      <c r="E229" t="s">
        <v>119</v>
      </c>
      <c r="F229" t="s">
        <v>120</v>
      </c>
      <c r="G229" t="s">
        <v>21</v>
      </c>
      <c r="H229">
        <v>2</v>
      </c>
      <c r="I229">
        <v>89.99</v>
      </c>
      <c r="J229" t="s">
        <v>28</v>
      </c>
      <c r="K229" t="s">
        <v>52</v>
      </c>
      <c r="L229" t="s">
        <v>29</v>
      </c>
      <c r="M229" s="7">
        <v>45295</v>
      </c>
      <c r="N229">
        <v>179.98</v>
      </c>
      <c r="P229">
        <v>2025</v>
      </c>
      <c r="Q229" t="str">
        <v>March</v>
      </c>
      <c r="R229" s="7">
        <f t="shared" si="6"/>
        <v>45838</v>
      </c>
      <c r="S229" s="8">
        <f t="shared" si="7"/>
        <v>559</v>
      </c>
    </row>
    <row r="230" spans="1:19">
      <c r="A230" t="s">
        <v>377</v>
      </c>
      <c r="B230" s="7">
        <v>45723</v>
      </c>
      <c r="C230" t="s">
        <v>122</v>
      </c>
      <c r="D230" t="s">
        <v>123</v>
      </c>
      <c r="E230" t="s">
        <v>19</v>
      </c>
      <c r="F230" t="s">
        <v>20</v>
      </c>
      <c r="G230" t="s">
        <v>21</v>
      </c>
      <c r="H230">
        <v>5</v>
      </c>
      <c r="I230">
        <v>249.99</v>
      </c>
      <c r="J230" t="s">
        <v>22</v>
      </c>
      <c r="K230" t="s">
        <v>65</v>
      </c>
      <c r="L230" t="s">
        <v>38</v>
      </c>
      <c r="M230" s="7">
        <v>44540</v>
      </c>
      <c r="N230">
        <v>1249.95</v>
      </c>
      <c r="P230">
        <v>2025</v>
      </c>
      <c r="Q230" t="str">
        <v>March</v>
      </c>
      <c r="R230" s="7">
        <f t="shared" si="6"/>
        <v>45838</v>
      </c>
      <c r="S230" s="8">
        <f t="shared" si="7"/>
        <v>430</v>
      </c>
    </row>
    <row r="231" spans="1:19">
      <c r="A231" t="s">
        <v>378</v>
      </c>
      <c r="B231" s="7">
        <v>45724</v>
      </c>
      <c r="C231" t="s">
        <v>228</v>
      </c>
      <c r="D231" t="s">
        <v>229</v>
      </c>
      <c r="E231" t="s">
        <v>46</v>
      </c>
      <c r="F231" t="s">
        <v>47</v>
      </c>
      <c r="G231" t="s">
        <v>48</v>
      </c>
      <c r="H231">
        <v>2</v>
      </c>
      <c r="I231">
        <v>149.99</v>
      </c>
      <c r="J231" t="s">
        <v>36</v>
      </c>
      <c r="K231" t="s">
        <v>23</v>
      </c>
      <c r="L231" t="s">
        <v>29</v>
      </c>
      <c r="M231" s="7">
        <v>44632</v>
      </c>
      <c r="N231">
        <v>299.98</v>
      </c>
      <c r="P231">
        <v>2025</v>
      </c>
      <c r="Q231" t="str">
        <v>March</v>
      </c>
      <c r="R231" s="7">
        <f t="shared" si="6"/>
        <v>45838</v>
      </c>
      <c r="S231" s="8">
        <f t="shared" si="7"/>
        <v>428</v>
      </c>
    </row>
    <row r="232" spans="1:19">
      <c r="A232" t="s">
        <v>379</v>
      </c>
      <c r="B232" s="7">
        <v>45724</v>
      </c>
      <c r="C232" t="s">
        <v>146</v>
      </c>
      <c r="D232" t="s">
        <v>147</v>
      </c>
      <c r="E232" t="s">
        <v>63</v>
      </c>
      <c r="F232" t="s">
        <v>64</v>
      </c>
      <c r="G232" t="s">
        <v>21</v>
      </c>
      <c r="H232">
        <v>5</v>
      </c>
      <c r="I232">
        <v>899.99</v>
      </c>
      <c r="J232" t="s">
        <v>36</v>
      </c>
      <c r="K232" t="s">
        <v>65</v>
      </c>
      <c r="L232" t="s">
        <v>29</v>
      </c>
      <c r="M232" s="7">
        <v>45389</v>
      </c>
      <c r="N232">
        <v>4499.95</v>
      </c>
      <c r="P232">
        <v>2025</v>
      </c>
      <c r="Q232" t="str">
        <v>March</v>
      </c>
      <c r="R232" s="7">
        <f t="shared" si="6"/>
        <v>45838</v>
      </c>
      <c r="S232" s="8">
        <f t="shared" si="7"/>
        <v>1183</v>
      </c>
    </row>
    <row r="233" spans="1:19">
      <c r="A233" t="s">
        <v>380</v>
      </c>
      <c r="B233" s="7">
        <v>45724</v>
      </c>
      <c r="C233" t="s">
        <v>57</v>
      </c>
      <c r="D233" t="s">
        <v>58</v>
      </c>
      <c r="E233" t="s">
        <v>46</v>
      </c>
      <c r="F233" t="s">
        <v>47</v>
      </c>
      <c r="G233" t="s">
        <v>48</v>
      </c>
      <c r="H233">
        <v>4</v>
      </c>
      <c r="I233">
        <v>149.99</v>
      </c>
      <c r="J233" t="s">
        <v>22</v>
      </c>
      <c r="K233" t="s">
        <v>23</v>
      </c>
      <c r="L233" t="s">
        <v>38</v>
      </c>
      <c r="M233" s="7">
        <v>45263</v>
      </c>
      <c r="N233">
        <v>599.96</v>
      </c>
      <c r="P233">
        <v>2025</v>
      </c>
      <c r="Q233" t="str">
        <v>March</v>
      </c>
      <c r="R233" s="7">
        <f t="shared" si="6"/>
        <v>45838</v>
      </c>
      <c r="S233" s="8">
        <f t="shared" si="7"/>
        <v>1092</v>
      </c>
    </row>
    <row r="234" spans="1:19">
      <c r="A234" t="s">
        <v>381</v>
      </c>
      <c r="B234" s="7">
        <v>45726</v>
      </c>
      <c r="C234" t="s">
        <v>146</v>
      </c>
      <c r="D234" t="s">
        <v>147</v>
      </c>
      <c r="E234" t="s">
        <v>19</v>
      </c>
      <c r="F234" t="s">
        <v>20</v>
      </c>
      <c r="G234" t="s">
        <v>21</v>
      </c>
      <c r="H234">
        <v>1</v>
      </c>
      <c r="I234">
        <v>249.99</v>
      </c>
      <c r="J234" t="s">
        <v>22</v>
      </c>
      <c r="K234" t="s">
        <v>42</v>
      </c>
      <c r="L234" t="s">
        <v>38</v>
      </c>
      <c r="M234" s="7">
        <v>45117</v>
      </c>
      <c r="N234">
        <v>249.99</v>
      </c>
      <c r="P234">
        <v>2025</v>
      </c>
      <c r="Q234" t="str">
        <v>March</v>
      </c>
      <c r="R234" s="7">
        <f t="shared" si="6"/>
        <v>45838</v>
      </c>
      <c r="S234" s="8">
        <f t="shared" si="7"/>
        <v>335</v>
      </c>
    </row>
    <row r="235" spans="1:19">
      <c r="A235" t="s">
        <v>382</v>
      </c>
      <c r="B235" s="7">
        <v>45734</v>
      </c>
      <c r="C235" t="s">
        <v>194</v>
      </c>
      <c r="D235" t="s">
        <v>195</v>
      </c>
      <c r="E235" t="s">
        <v>33</v>
      </c>
      <c r="F235" t="s">
        <v>34</v>
      </c>
      <c r="G235" t="s">
        <v>35</v>
      </c>
      <c r="H235">
        <v>2</v>
      </c>
      <c r="I235">
        <v>59.99</v>
      </c>
      <c r="J235" t="s">
        <v>28</v>
      </c>
      <c r="K235" t="s">
        <v>52</v>
      </c>
      <c r="L235" t="s">
        <v>24</v>
      </c>
      <c r="M235" s="7">
        <v>45193</v>
      </c>
      <c r="N235">
        <v>119.98</v>
      </c>
      <c r="P235">
        <v>2025</v>
      </c>
      <c r="Q235" t="str">
        <v>March</v>
      </c>
      <c r="R235" s="7">
        <f t="shared" si="6"/>
        <v>45838</v>
      </c>
      <c r="S235" s="8">
        <f t="shared" si="7"/>
        <v>461</v>
      </c>
    </row>
    <row r="236" spans="1:19">
      <c r="A236" t="s">
        <v>383</v>
      </c>
      <c r="B236" s="7">
        <v>45737</v>
      </c>
      <c r="C236" t="s">
        <v>134</v>
      </c>
      <c r="D236" t="s">
        <v>135</v>
      </c>
      <c r="E236" t="s">
        <v>46</v>
      </c>
      <c r="F236" t="s">
        <v>47</v>
      </c>
      <c r="G236" t="s">
        <v>48</v>
      </c>
      <c r="H236">
        <v>2</v>
      </c>
      <c r="I236">
        <v>149.99</v>
      </c>
      <c r="J236" t="s">
        <v>22</v>
      </c>
      <c r="K236" t="s">
        <v>52</v>
      </c>
      <c r="L236" t="s">
        <v>29</v>
      </c>
      <c r="M236" s="7">
        <v>45233</v>
      </c>
      <c r="N236">
        <v>299.98</v>
      </c>
      <c r="P236">
        <v>2025</v>
      </c>
      <c r="Q236" t="str">
        <v>March</v>
      </c>
      <c r="R236" s="7">
        <f t="shared" si="6"/>
        <v>45838</v>
      </c>
      <c r="S236" s="8">
        <f t="shared" si="7"/>
        <v>609</v>
      </c>
    </row>
    <row r="237" spans="1:19">
      <c r="A237" t="s">
        <v>384</v>
      </c>
      <c r="B237" s="7">
        <v>45737</v>
      </c>
      <c r="C237" t="s">
        <v>152</v>
      </c>
      <c r="D237" t="s">
        <v>153</v>
      </c>
      <c r="E237" t="s">
        <v>63</v>
      </c>
      <c r="F237" t="s">
        <v>64</v>
      </c>
      <c r="G237" t="s">
        <v>21</v>
      </c>
      <c r="H237">
        <v>3</v>
      </c>
      <c r="I237">
        <v>899.99</v>
      </c>
      <c r="J237" t="s">
        <v>59</v>
      </c>
      <c r="K237" t="s">
        <v>42</v>
      </c>
      <c r="L237" t="s">
        <v>29</v>
      </c>
      <c r="M237" s="7">
        <v>44876</v>
      </c>
      <c r="N237">
        <v>2699.97</v>
      </c>
      <c r="P237">
        <v>2025</v>
      </c>
      <c r="Q237" t="str">
        <v>March</v>
      </c>
      <c r="R237" s="7">
        <f t="shared" si="6"/>
        <v>45838</v>
      </c>
      <c r="S237" s="8">
        <f t="shared" si="7"/>
        <v>541</v>
      </c>
    </row>
    <row r="238" spans="1:19">
      <c r="A238" t="s">
        <v>385</v>
      </c>
      <c r="B238" s="7">
        <v>45737</v>
      </c>
      <c r="C238" t="s">
        <v>50</v>
      </c>
      <c r="D238" t="s">
        <v>51</v>
      </c>
      <c r="E238" t="s">
        <v>63</v>
      </c>
      <c r="F238" t="s">
        <v>64</v>
      </c>
      <c r="G238" t="s">
        <v>21</v>
      </c>
      <c r="H238">
        <v>3</v>
      </c>
      <c r="I238">
        <v>899.99</v>
      </c>
      <c r="J238" t="s">
        <v>36</v>
      </c>
      <c r="K238" t="s">
        <v>42</v>
      </c>
      <c r="L238" t="s">
        <v>24</v>
      </c>
      <c r="M238" s="7">
        <v>44975</v>
      </c>
      <c r="N238">
        <v>2699.97</v>
      </c>
      <c r="P238">
        <v>2025</v>
      </c>
      <c r="Q238" t="str">
        <v>March</v>
      </c>
      <c r="R238" s="7">
        <f t="shared" si="6"/>
        <v>45838</v>
      </c>
      <c r="S238" s="8">
        <f t="shared" si="7"/>
        <v>504</v>
      </c>
    </row>
    <row r="239" spans="1:19">
      <c r="A239" t="s">
        <v>386</v>
      </c>
      <c r="B239" s="7">
        <v>45739</v>
      </c>
      <c r="C239" t="s">
        <v>17</v>
      </c>
      <c r="D239" t="s">
        <v>18</v>
      </c>
      <c r="E239" t="s">
        <v>107</v>
      </c>
      <c r="F239" t="s">
        <v>108</v>
      </c>
      <c r="G239" t="s">
        <v>48</v>
      </c>
      <c r="H239">
        <v>3</v>
      </c>
      <c r="I239">
        <v>299.99</v>
      </c>
      <c r="J239" t="s">
        <v>28</v>
      </c>
      <c r="K239" t="s">
        <v>52</v>
      </c>
      <c r="L239" t="s">
        <v>29</v>
      </c>
      <c r="M239" s="7">
        <v>45234</v>
      </c>
      <c r="N239">
        <v>899.97</v>
      </c>
      <c r="P239">
        <v>2025</v>
      </c>
      <c r="Q239" t="str">
        <v>March</v>
      </c>
      <c r="R239" s="7">
        <f t="shared" si="6"/>
        <v>45838</v>
      </c>
      <c r="S239" s="8">
        <f t="shared" si="7"/>
        <v>861</v>
      </c>
    </row>
    <row r="240" spans="1:19">
      <c r="A240" t="s">
        <v>387</v>
      </c>
      <c r="B240" s="7">
        <v>45740</v>
      </c>
      <c r="C240" t="s">
        <v>388</v>
      </c>
      <c r="D240" t="s">
        <v>389</v>
      </c>
      <c r="E240" t="s">
        <v>46</v>
      </c>
      <c r="F240" t="s">
        <v>47</v>
      </c>
      <c r="G240" t="s">
        <v>48</v>
      </c>
      <c r="H240">
        <v>4</v>
      </c>
      <c r="I240">
        <v>149.99</v>
      </c>
      <c r="J240" t="s">
        <v>36</v>
      </c>
      <c r="K240" t="s">
        <v>52</v>
      </c>
      <c r="L240" t="s">
        <v>38</v>
      </c>
      <c r="M240" s="7">
        <v>44560</v>
      </c>
      <c r="N240">
        <v>599.96</v>
      </c>
      <c r="P240">
        <v>2025</v>
      </c>
      <c r="Q240" t="str">
        <v>March</v>
      </c>
      <c r="R240" s="7">
        <f t="shared" si="6"/>
        <v>45838</v>
      </c>
      <c r="S240" s="8">
        <f t="shared" si="7"/>
        <v>762</v>
      </c>
    </row>
    <row r="241" spans="1:19">
      <c r="A241" t="s">
        <v>390</v>
      </c>
      <c r="B241" s="7">
        <v>45743</v>
      </c>
      <c r="C241" t="s">
        <v>104</v>
      </c>
      <c r="D241" t="s">
        <v>105</v>
      </c>
      <c r="E241" t="s">
        <v>116</v>
      </c>
      <c r="F241" t="s">
        <v>117</v>
      </c>
      <c r="G241" t="s">
        <v>35</v>
      </c>
      <c r="H241">
        <v>4</v>
      </c>
      <c r="I241">
        <v>79.989999999999995</v>
      </c>
      <c r="J241" t="s">
        <v>28</v>
      </c>
      <c r="K241" t="s">
        <v>23</v>
      </c>
      <c r="L241" t="s">
        <v>24</v>
      </c>
      <c r="M241" s="7">
        <v>45288</v>
      </c>
      <c r="N241">
        <v>319.95999999999998</v>
      </c>
      <c r="P241">
        <v>2025</v>
      </c>
      <c r="Q241" t="str">
        <v>March</v>
      </c>
      <c r="R241" s="7">
        <f t="shared" si="6"/>
        <v>45838</v>
      </c>
      <c r="S241" s="8">
        <f t="shared" si="7"/>
        <v>505</v>
      </c>
    </row>
    <row r="242" spans="1:19">
      <c r="A242" t="s">
        <v>391</v>
      </c>
      <c r="B242" s="7">
        <v>45745</v>
      </c>
      <c r="C242" t="s">
        <v>187</v>
      </c>
      <c r="D242" t="s">
        <v>188</v>
      </c>
      <c r="E242" t="s">
        <v>119</v>
      </c>
      <c r="F242" t="s">
        <v>120</v>
      </c>
      <c r="G242" t="s">
        <v>21</v>
      </c>
      <c r="H242">
        <v>5</v>
      </c>
      <c r="I242">
        <v>89.99</v>
      </c>
      <c r="J242" t="s">
        <v>36</v>
      </c>
      <c r="K242" t="s">
        <v>37</v>
      </c>
      <c r="L242" t="s">
        <v>24</v>
      </c>
      <c r="M242" s="7">
        <v>44704</v>
      </c>
      <c r="N242">
        <v>449.95</v>
      </c>
      <c r="P242">
        <v>2025</v>
      </c>
      <c r="Q242" t="str">
        <v>March</v>
      </c>
      <c r="R242" s="7">
        <f t="shared" si="6"/>
        <v>45838</v>
      </c>
      <c r="S242" s="8">
        <f t="shared" si="7"/>
        <v>1180</v>
      </c>
    </row>
    <row r="243" spans="1:19">
      <c r="A243" t="s">
        <v>392</v>
      </c>
      <c r="B243" s="7">
        <v>45746</v>
      </c>
      <c r="C243" t="s">
        <v>95</v>
      </c>
      <c r="D243" t="s">
        <v>96</v>
      </c>
      <c r="E243" t="s">
        <v>46</v>
      </c>
      <c r="F243" t="s">
        <v>47</v>
      </c>
      <c r="G243" t="s">
        <v>48</v>
      </c>
      <c r="H243">
        <v>3</v>
      </c>
      <c r="I243">
        <v>149.99</v>
      </c>
      <c r="J243" t="s">
        <v>36</v>
      </c>
      <c r="K243" t="s">
        <v>23</v>
      </c>
      <c r="L243" t="s">
        <v>38</v>
      </c>
      <c r="M243" s="7">
        <v>45171</v>
      </c>
      <c r="N243">
        <v>449.97</v>
      </c>
      <c r="P243">
        <v>2025</v>
      </c>
      <c r="Q243" t="str">
        <v>March</v>
      </c>
      <c r="R243" s="7">
        <f t="shared" si="6"/>
        <v>45838</v>
      </c>
      <c r="S243" s="8">
        <f t="shared" si="7"/>
        <v>455</v>
      </c>
    </row>
    <row r="244" spans="1:19">
      <c r="A244" t="s">
        <v>393</v>
      </c>
      <c r="B244" s="7">
        <v>45746</v>
      </c>
      <c r="C244" t="s">
        <v>67</v>
      </c>
      <c r="D244" t="s">
        <v>68</v>
      </c>
      <c r="E244" t="s">
        <v>119</v>
      </c>
      <c r="F244" t="s">
        <v>120</v>
      </c>
      <c r="G244" t="s">
        <v>21</v>
      </c>
      <c r="H244">
        <v>2</v>
      </c>
      <c r="I244">
        <v>89.99</v>
      </c>
      <c r="J244" t="s">
        <v>59</v>
      </c>
      <c r="K244" t="s">
        <v>52</v>
      </c>
      <c r="L244" t="s">
        <v>29</v>
      </c>
      <c r="M244" s="7">
        <v>44522</v>
      </c>
      <c r="N244">
        <v>179.98</v>
      </c>
      <c r="P244">
        <v>2025</v>
      </c>
      <c r="Q244" t="str">
        <v>March</v>
      </c>
      <c r="R244" s="7">
        <f t="shared" si="6"/>
        <v>45838</v>
      </c>
      <c r="S244" s="8">
        <f t="shared" si="7"/>
        <v>1041</v>
      </c>
    </row>
    <row r="245" spans="1:19">
      <c r="A245" t="s">
        <v>394</v>
      </c>
      <c r="B245" s="7">
        <v>45748</v>
      </c>
      <c r="C245" t="s">
        <v>104</v>
      </c>
      <c r="D245" t="s">
        <v>105</v>
      </c>
      <c r="E245" t="s">
        <v>82</v>
      </c>
      <c r="F245" t="s">
        <v>83</v>
      </c>
      <c r="G245" t="s">
        <v>21</v>
      </c>
      <c r="H245">
        <v>2</v>
      </c>
      <c r="I245">
        <v>699.99</v>
      </c>
      <c r="J245" t="s">
        <v>36</v>
      </c>
      <c r="K245" t="s">
        <v>42</v>
      </c>
      <c r="L245" t="s">
        <v>38</v>
      </c>
      <c r="M245" s="7">
        <v>44618</v>
      </c>
      <c r="N245">
        <v>1399.98</v>
      </c>
      <c r="P245">
        <v>2025</v>
      </c>
      <c r="Q245" t="str">
        <v>March</v>
      </c>
      <c r="R245" s="7">
        <f t="shared" si="6"/>
        <v>45838</v>
      </c>
      <c r="S245" s="8">
        <f t="shared" si="7"/>
        <v>575</v>
      </c>
    </row>
    <row r="246" spans="1:19">
      <c r="A246" t="s">
        <v>395</v>
      </c>
      <c r="B246" s="7">
        <v>45749</v>
      </c>
      <c r="C246" t="s">
        <v>125</v>
      </c>
      <c r="D246" t="s">
        <v>126</v>
      </c>
      <c r="E246" t="s">
        <v>63</v>
      </c>
      <c r="F246" t="s">
        <v>64</v>
      </c>
      <c r="G246" t="s">
        <v>21</v>
      </c>
      <c r="H246">
        <v>3</v>
      </c>
      <c r="I246">
        <v>899.99</v>
      </c>
      <c r="J246" t="s">
        <v>22</v>
      </c>
      <c r="K246" t="s">
        <v>23</v>
      </c>
      <c r="L246" t="s">
        <v>38</v>
      </c>
      <c r="M246" s="7">
        <v>44953</v>
      </c>
      <c r="N246">
        <v>2699.97</v>
      </c>
      <c r="P246">
        <v>2025</v>
      </c>
      <c r="Q246" t="str">
        <v>March</v>
      </c>
      <c r="R246" s="7">
        <f t="shared" si="6"/>
        <v>45838</v>
      </c>
      <c r="S246" s="8">
        <f t="shared" si="7"/>
        <v>1224</v>
      </c>
    </row>
    <row r="247" spans="1:19">
      <c r="A247" t="s">
        <v>396</v>
      </c>
      <c r="B247" s="7">
        <v>45755</v>
      </c>
      <c r="C247" t="s">
        <v>95</v>
      </c>
      <c r="D247" t="s">
        <v>96</v>
      </c>
      <c r="E247" t="s">
        <v>116</v>
      </c>
      <c r="F247" t="s">
        <v>117</v>
      </c>
      <c r="G247" t="s">
        <v>35</v>
      </c>
      <c r="H247">
        <v>3</v>
      </c>
      <c r="I247">
        <v>79.989999999999995</v>
      </c>
      <c r="J247" t="s">
        <v>28</v>
      </c>
      <c r="K247" t="s">
        <v>42</v>
      </c>
      <c r="L247" t="s">
        <v>24</v>
      </c>
      <c r="M247" s="7">
        <v>44511</v>
      </c>
      <c r="N247">
        <v>239.97</v>
      </c>
      <c r="P247">
        <v>2025</v>
      </c>
      <c r="Q247" t="str">
        <v>April</v>
      </c>
      <c r="R247" s="7">
        <f t="shared" si="6"/>
        <v>45900</v>
      </c>
      <c r="S247" s="8">
        <f t="shared" si="7"/>
        <v>1130</v>
      </c>
    </row>
    <row r="248" spans="1:19">
      <c r="A248" t="s">
        <v>397</v>
      </c>
      <c r="B248" s="7">
        <v>45756</v>
      </c>
      <c r="C248" t="s">
        <v>61</v>
      </c>
      <c r="D248" t="s">
        <v>62</v>
      </c>
      <c r="E248" t="s">
        <v>119</v>
      </c>
      <c r="F248" t="s">
        <v>120</v>
      </c>
      <c r="G248" t="s">
        <v>21</v>
      </c>
      <c r="H248">
        <v>1</v>
      </c>
      <c r="I248">
        <v>89.99</v>
      </c>
      <c r="J248" t="s">
        <v>59</v>
      </c>
      <c r="K248" t="s">
        <v>65</v>
      </c>
      <c r="L248" t="s">
        <v>24</v>
      </c>
      <c r="M248" s="7">
        <v>45346</v>
      </c>
      <c r="N248">
        <v>89.99</v>
      </c>
      <c r="P248">
        <v>2025</v>
      </c>
      <c r="Q248" t="str">
        <v>April</v>
      </c>
      <c r="R248" s="7">
        <f t="shared" si="6"/>
        <v>45900</v>
      </c>
      <c r="S248" s="8">
        <f t="shared" si="7"/>
        <v>796</v>
      </c>
    </row>
    <row r="249" spans="1:19">
      <c r="A249" t="s">
        <v>398</v>
      </c>
      <c r="B249" s="7">
        <v>45758</v>
      </c>
      <c r="C249" t="s">
        <v>295</v>
      </c>
      <c r="D249" t="s">
        <v>296</v>
      </c>
      <c r="E249" t="s">
        <v>82</v>
      </c>
      <c r="F249" t="s">
        <v>83</v>
      </c>
      <c r="G249" t="s">
        <v>21</v>
      </c>
      <c r="H249">
        <v>3</v>
      </c>
      <c r="I249">
        <v>699.99</v>
      </c>
      <c r="J249" t="s">
        <v>36</v>
      </c>
      <c r="K249" t="s">
        <v>42</v>
      </c>
      <c r="L249" t="s">
        <v>24</v>
      </c>
      <c r="M249" s="7">
        <v>44909</v>
      </c>
      <c r="N249">
        <v>2099.9699999999998</v>
      </c>
      <c r="P249">
        <v>2025</v>
      </c>
      <c r="Q249" t="str">
        <v>April</v>
      </c>
      <c r="R249" s="7">
        <f t="shared" si="6"/>
        <v>45900</v>
      </c>
      <c r="S249" s="8">
        <f t="shared" si="7"/>
        <v>1244</v>
      </c>
    </row>
    <row r="250" spans="1:19">
      <c r="A250" t="s">
        <v>399</v>
      </c>
      <c r="B250" s="7">
        <v>45758</v>
      </c>
      <c r="C250" t="s">
        <v>228</v>
      </c>
      <c r="D250" t="s">
        <v>229</v>
      </c>
      <c r="E250" t="s">
        <v>119</v>
      </c>
      <c r="F250" t="s">
        <v>120</v>
      </c>
      <c r="G250" t="s">
        <v>21</v>
      </c>
      <c r="H250">
        <v>2</v>
      </c>
      <c r="I250">
        <v>89.99</v>
      </c>
      <c r="J250" t="s">
        <v>59</v>
      </c>
      <c r="K250" t="s">
        <v>65</v>
      </c>
      <c r="L250" t="s">
        <v>24</v>
      </c>
      <c r="M250" s="7">
        <v>45088</v>
      </c>
      <c r="N250">
        <v>179.98</v>
      </c>
      <c r="P250">
        <v>2025</v>
      </c>
      <c r="Q250" t="str">
        <v>April</v>
      </c>
      <c r="R250" s="7">
        <f t="shared" si="6"/>
        <v>45900</v>
      </c>
      <c r="S250" s="8">
        <f t="shared" si="7"/>
        <v>410</v>
      </c>
    </row>
    <row r="251" spans="1:19">
      <c r="A251" t="s">
        <v>400</v>
      </c>
      <c r="B251" s="7">
        <v>45758</v>
      </c>
      <c r="C251" t="s">
        <v>140</v>
      </c>
      <c r="D251" t="s">
        <v>141</v>
      </c>
      <c r="E251" t="s">
        <v>119</v>
      </c>
      <c r="F251" t="s">
        <v>120</v>
      </c>
      <c r="G251" t="s">
        <v>21</v>
      </c>
      <c r="H251">
        <v>3</v>
      </c>
      <c r="I251">
        <v>89.99</v>
      </c>
      <c r="J251" t="s">
        <v>59</v>
      </c>
      <c r="K251" t="s">
        <v>42</v>
      </c>
      <c r="L251" t="s">
        <v>29</v>
      </c>
      <c r="M251" s="7">
        <v>44878</v>
      </c>
      <c r="N251">
        <v>269.97000000000003</v>
      </c>
      <c r="P251">
        <v>2025</v>
      </c>
      <c r="Q251" t="str">
        <v>April</v>
      </c>
      <c r="R251" s="7">
        <f t="shared" si="6"/>
        <v>45900</v>
      </c>
      <c r="S251" s="8">
        <f t="shared" si="7"/>
        <v>849</v>
      </c>
    </row>
    <row r="252" spans="1:19">
      <c r="P252">
        <v>2025</v>
      </c>
      <c r="Q252" t="str">
        <v>April</v>
      </c>
      <c r="R252" s="7">
        <f t="shared" si="6"/>
        <v>45900</v>
      </c>
      <c r="S252" s="8">
        <f t="shared" si="7"/>
        <v>670</v>
      </c>
    </row>
    <row r="253" spans="1:19">
      <c r="P253">
        <v>2025</v>
      </c>
      <c r="Q253" t="str">
        <v>April</v>
      </c>
      <c r="R253" s="7">
        <f t="shared" si="6"/>
        <v>45900</v>
      </c>
      <c r="S253" s="8">
        <f t="shared" si="7"/>
        <v>880</v>
      </c>
    </row>
  </sheetData>
  <conditionalFormatting sqref="N1:N1048576">
    <cfRule type="iconSet" priority="1">
      <iconSet>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9A979B31-FE17-4937-9336-2A68E0F5732E}">
            <x14:iconSet iconSet="3Triangles">
              <x14:cfvo type="percent">
                <xm:f>0</xm:f>
              </x14:cfvo>
              <x14:cfvo type="percent">
                <xm:f>33</xm:f>
              </x14:cfvo>
              <x14:cfvo type="percent">
                <xm:f>67</xm:f>
              </x14:cfvo>
            </x14:iconSet>
          </x14:cfRule>
          <xm:sqref>H1:H1048576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D78F-A332-4793-986C-8C23E0556605}">
  <dimension ref="A1:K54"/>
  <sheetViews>
    <sheetView topLeftCell="A54" zoomScale="70" zoomScaleNormal="70" workbookViewId="0">
      <selection activeCell="E21" sqref="E21"/>
    </sheetView>
  </sheetViews>
  <sheetFormatPr defaultRowHeight="14.4"/>
  <cols>
    <col min="1" max="1" width="16.109375" bestFit="1" customWidth="1"/>
    <col min="2" max="2" width="20.21875" bestFit="1" customWidth="1"/>
    <col min="4" max="4" width="13.88671875" bestFit="1" customWidth="1"/>
    <col min="5" max="5" width="20.21875" bestFit="1" customWidth="1"/>
    <col min="7" max="7" width="13.88671875" bestFit="1" customWidth="1"/>
    <col min="8" max="8" width="20.21875" bestFit="1" customWidth="1"/>
    <col min="9" max="9" width="16.21875" bestFit="1" customWidth="1"/>
    <col min="10" max="10" width="13.88671875" bestFit="1" customWidth="1"/>
    <col min="11" max="11" width="20.21875" bestFit="1" customWidth="1"/>
  </cols>
  <sheetData>
    <row r="1" spans="1:11">
      <c r="D1" s="14" t="s">
        <v>414</v>
      </c>
      <c r="G1" s="14" t="s">
        <v>416</v>
      </c>
      <c r="J1" s="12" t="s">
        <v>410</v>
      </c>
      <c r="K1" t="s">
        <v>412</v>
      </c>
    </row>
    <row r="2" spans="1:11">
      <c r="A2" s="14" t="s">
        <v>413</v>
      </c>
      <c r="D2" s="12" t="s">
        <v>410</v>
      </c>
      <c r="E2" t="s">
        <v>412</v>
      </c>
      <c r="G2" s="12" t="s">
        <v>410</v>
      </c>
      <c r="H2" t="s">
        <v>415</v>
      </c>
      <c r="J2" s="13" t="s">
        <v>65</v>
      </c>
      <c r="K2" s="63">
        <v>59288.389999999992</v>
      </c>
    </row>
    <row r="3" spans="1:11">
      <c r="A3" s="12" t="s">
        <v>410</v>
      </c>
      <c r="B3" t="s">
        <v>412</v>
      </c>
      <c r="D3" s="13" t="s">
        <v>64</v>
      </c>
      <c r="E3" s="63">
        <v>67499.25</v>
      </c>
      <c r="G3" s="13" t="s">
        <v>35</v>
      </c>
      <c r="H3" s="63">
        <v>43</v>
      </c>
      <c r="J3" s="13" t="s">
        <v>42</v>
      </c>
      <c r="K3" s="63">
        <v>50808.310000000012</v>
      </c>
    </row>
    <row r="4" spans="1:11">
      <c r="A4" s="13" t="s">
        <v>89</v>
      </c>
      <c r="B4" s="63">
        <v>15659.65</v>
      </c>
      <c r="D4" s="13" t="s">
        <v>83</v>
      </c>
      <c r="E4" s="63">
        <v>67199.039999999994</v>
      </c>
      <c r="G4" s="13" t="s">
        <v>21</v>
      </c>
      <c r="H4" s="63">
        <v>131</v>
      </c>
      <c r="J4" s="13" t="s">
        <v>52</v>
      </c>
      <c r="K4" s="63">
        <v>41408.680000000015</v>
      </c>
    </row>
    <row r="5" spans="1:11">
      <c r="A5" s="13" t="s">
        <v>126</v>
      </c>
      <c r="B5" s="63">
        <v>11919.769999999999</v>
      </c>
      <c r="D5" s="13" t="s">
        <v>108</v>
      </c>
      <c r="E5" s="63">
        <v>23399.22</v>
      </c>
      <c r="G5" s="13" t="s">
        <v>48</v>
      </c>
      <c r="H5" s="63">
        <v>76</v>
      </c>
      <c r="J5" s="13" t="s">
        <v>23</v>
      </c>
      <c r="K5" s="63">
        <v>41288.340000000018</v>
      </c>
    </row>
    <row r="6" spans="1:11">
      <c r="A6" s="13" t="s">
        <v>99</v>
      </c>
      <c r="B6" s="63">
        <v>10649.8</v>
      </c>
      <c r="D6" s="13" t="s">
        <v>20</v>
      </c>
      <c r="E6" s="63">
        <v>21999.119999999999</v>
      </c>
      <c r="G6" s="13" t="s">
        <v>411</v>
      </c>
      <c r="H6" s="63">
        <v>250</v>
      </c>
      <c r="J6" s="13" t="s">
        <v>37</v>
      </c>
      <c r="K6" s="63">
        <v>36398.750000000007</v>
      </c>
    </row>
    <row r="7" spans="1:11">
      <c r="A7" s="13" t="s">
        <v>102</v>
      </c>
      <c r="B7" s="63">
        <v>9799.73</v>
      </c>
      <c r="D7" s="13" t="s">
        <v>47</v>
      </c>
      <c r="E7" s="63">
        <v>15298.979999999994</v>
      </c>
      <c r="J7" s="13" t="s">
        <v>411</v>
      </c>
      <c r="K7" s="63">
        <v>229192.47000000006</v>
      </c>
    </row>
    <row r="8" spans="1:11">
      <c r="A8" s="13" t="s">
        <v>18</v>
      </c>
      <c r="B8" s="63">
        <v>8309.739999999998</v>
      </c>
      <c r="D8" s="13" t="s">
        <v>129</v>
      </c>
      <c r="E8" s="63">
        <v>10399.479999999998</v>
      </c>
    </row>
    <row r="9" spans="1:11">
      <c r="A9" s="13" t="s">
        <v>51</v>
      </c>
      <c r="B9" s="63">
        <v>8269.7900000000009</v>
      </c>
      <c r="D9" s="13" t="s">
        <v>120</v>
      </c>
      <c r="E9" s="63">
        <v>8009.1099999999969</v>
      </c>
    </row>
    <row r="10" spans="1:11">
      <c r="A10" s="13" t="s">
        <v>68</v>
      </c>
      <c r="B10" s="63">
        <v>8009.7699999999995</v>
      </c>
      <c r="D10" s="13" t="s">
        <v>55</v>
      </c>
      <c r="E10" s="63">
        <v>7049.5299999999988</v>
      </c>
    </row>
    <row r="11" spans="1:11">
      <c r="A11" s="13" t="s">
        <v>150</v>
      </c>
      <c r="B11" s="63">
        <v>7309.7999999999993</v>
      </c>
      <c r="D11" s="13" t="s">
        <v>34</v>
      </c>
      <c r="E11" s="63">
        <v>5219.1299999999974</v>
      </c>
      <c r="G11" s="12" t="s">
        <v>410</v>
      </c>
      <c r="H11" t="s">
        <v>412</v>
      </c>
    </row>
    <row r="12" spans="1:11">
      <c r="A12" s="13" t="s">
        <v>229</v>
      </c>
      <c r="B12" s="63">
        <v>6989.7699999999986</v>
      </c>
      <c r="D12" s="13" t="s">
        <v>117</v>
      </c>
      <c r="E12" s="63">
        <v>3119.6099999999992</v>
      </c>
      <c r="G12" s="13" t="s">
        <v>417</v>
      </c>
      <c r="H12" s="63">
        <v>44668.33</v>
      </c>
    </row>
    <row r="13" spans="1:11">
      <c r="A13" s="13" t="s">
        <v>27</v>
      </c>
      <c r="B13" s="63">
        <v>6949.84</v>
      </c>
      <c r="D13" s="13" t="s">
        <v>411</v>
      </c>
      <c r="E13" s="63">
        <v>229192.46999999997</v>
      </c>
      <c r="G13" s="13" t="s">
        <v>418</v>
      </c>
      <c r="H13" s="63">
        <v>81817.279999999984</v>
      </c>
    </row>
    <row r="14" spans="1:11">
      <c r="A14" s="13" t="s">
        <v>123</v>
      </c>
      <c r="B14" s="63">
        <v>6459.79</v>
      </c>
      <c r="G14" s="13" t="s">
        <v>419</v>
      </c>
      <c r="H14" s="63">
        <v>77267.520000000033</v>
      </c>
    </row>
    <row r="15" spans="1:11">
      <c r="A15" s="13" t="s">
        <v>199</v>
      </c>
      <c r="B15" s="63">
        <v>6379.87</v>
      </c>
      <c r="G15" s="13" t="s">
        <v>420</v>
      </c>
      <c r="H15" s="63">
        <v>25439.340000000004</v>
      </c>
    </row>
    <row r="16" spans="1:11">
      <c r="A16" s="13" t="s">
        <v>237</v>
      </c>
      <c r="B16" s="63">
        <v>6349.83</v>
      </c>
      <c r="G16" s="13" t="s">
        <v>411</v>
      </c>
      <c r="H16" s="63">
        <v>229192.47</v>
      </c>
    </row>
    <row r="17" spans="1:2">
      <c r="A17" s="13" t="s">
        <v>45</v>
      </c>
      <c r="B17" s="63">
        <v>6169.7400000000007</v>
      </c>
    </row>
    <row r="18" spans="1:2">
      <c r="A18" s="13" t="s">
        <v>75</v>
      </c>
      <c r="B18" s="63">
        <v>5949.85</v>
      </c>
    </row>
    <row r="19" spans="1:2">
      <c r="A19" s="13" t="s">
        <v>161</v>
      </c>
      <c r="B19" s="63">
        <v>5649.84</v>
      </c>
    </row>
    <row r="20" spans="1:2">
      <c r="A20" s="13" t="s">
        <v>153</v>
      </c>
      <c r="B20" s="63">
        <v>5619.869999999999</v>
      </c>
    </row>
    <row r="21" spans="1:2">
      <c r="A21" s="13" t="s">
        <v>147</v>
      </c>
      <c r="B21" s="63">
        <v>5519.8899999999994</v>
      </c>
    </row>
    <row r="22" spans="1:2">
      <c r="A22" s="13" t="s">
        <v>157</v>
      </c>
      <c r="B22" s="63">
        <v>5499.8099999999995</v>
      </c>
    </row>
    <row r="23" spans="1:2">
      <c r="A23" s="13" t="s">
        <v>58</v>
      </c>
      <c r="B23" s="63">
        <v>5089.7300000000005</v>
      </c>
    </row>
    <row r="24" spans="1:2">
      <c r="A24" s="13" t="s">
        <v>296</v>
      </c>
      <c r="B24" s="63">
        <v>4829.8899999999994</v>
      </c>
    </row>
    <row r="25" spans="1:2">
      <c r="A25" s="13" t="s">
        <v>96</v>
      </c>
      <c r="B25" s="63">
        <v>4789.7900000000009</v>
      </c>
    </row>
    <row r="26" spans="1:2">
      <c r="A26" s="13" t="s">
        <v>255</v>
      </c>
      <c r="B26" s="63">
        <v>4749.91</v>
      </c>
    </row>
    <row r="27" spans="1:2">
      <c r="A27" s="13" t="s">
        <v>144</v>
      </c>
      <c r="B27" s="63">
        <v>4739.8500000000004</v>
      </c>
    </row>
    <row r="28" spans="1:2">
      <c r="A28" s="13" t="s">
        <v>41</v>
      </c>
      <c r="B28" s="63">
        <v>4309.8099999999995</v>
      </c>
    </row>
    <row r="29" spans="1:2">
      <c r="A29" s="13" t="s">
        <v>81</v>
      </c>
      <c r="B29" s="63">
        <v>4199.9399999999996</v>
      </c>
    </row>
    <row r="30" spans="1:2">
      <c r="A30" s="13" t="s">
        <v>111</v>
      </c>
      <c r="B30" s="63">
        <v>4189.7700000000004</v>
      </c>
    </row>
    <row r="31" spans="1:2">
      <c r="A31" s="13" t="s">
        <v>86</v>
      </c>
      <c r="B31" s="63">
        <v>3779.93</v>
      </c>
    </row>
    <row r="32" spans="1:2">
      <c r="A32" s="13" t="s">
        <v>105</v>
      </c>
      <c r="B32" s="63">
        <v>3769.8300000000004</v>
      </c>
    </row>
    <row r="33" spans="1:2">
      <c r="A33" s="13" t="s">
        <v>174</v>
      </c>
      <c r="B33" s="63">
        <v>3669.8500000000004</v>
      </c>
    </row>
    <row r="34" spans="1:2">
      <c r="A34" s="13" t="s">
        <v>214</v>
      </c>
      <c r="B34" s="63">
        <v>3649.8599999999997</v>
      </c>
    </row>
    <row r="35" spans="1:2">
      <c r="A35" s="13" t="s">
        <v>62</v>
      </c>
      <c r="B35" s="63">
        <v>3509.8999999999996</v>
      </c>
    </row>
    <row r="36" spans="1:2">
      <c r="A36" s="13" t="s">
        <v>32</v>
      </c>
      <c r="B36" s="63">
        <v>3259.87</v>
      </c>
    </row>
    <row r="37" spans="1:2">
      <c r="A37" s="13" t="s">
        <v>141</v>
      </c>
      <c r="B37" s="63">
        <v>2649.83</v>
      </c>
    </row>
    <row r="38" spans="1:2">
      <c r="A38" s="13" t="s">
        <v>188</v>
      </c>
      <c r="B38" s="63">
        <v>2099.88</v>
      </c>
    </row>
    <row r="39" spans="1:2">
      <c r="A39" s="13" t="s">
        <v>132</v>
      </c>
      <c r="B39" s="63">
        <v>2039.8000000000002</v>
      </c>
    </row>
    <row r="40" spans="1:2">
      <c r="A40" s="13" t="s">
        <v>71</v>
      </c>
      <c r="B40" s="63">
        <v>1979.89</v>
      </c>
    </row>
    <row r="41" spans="1:2">
      <c r="A41" s="13" t="s">
        <v>92</v>
      </c>
      <c r="B41" s="63">
        <v>1909.93</v>
      </c>
    </row>
    <row r="42" spans="1:2">
      <c r="A42" s="13" t="s">
        <v>185</v>
      </c>
      <c r="B42" s="63">
        <v>1809.84</v>
      </c>
    </row>
    <row r="43" spans="1:2">
      <c r="A43" s="13" t="s">
        <v>249</v>
      </c>
      <c r="B43" s="63">
        <v>1749.92</v>
      </c>
    </row>
    <row r="44" spans="1:2">
      <c r="A44" s="13" t="s">
        <v>328</v>
      </c>
      <c r="B44" s="63">
        <v>1559.94</v>
      </c>
    </row>
    <row r="45" spans="1:2">
      <c r="A45" s="13" t="s">
        <v>195</v>
      </c>
      <c r="B45" s="63">
        <v>1479.91</v>
      </c>
    </row>
    <row r="46" spans="1:2">
      <c r="A46" s="13" t="s">
        <v>115</v>
      </c>
      <c r="B46" s="63">
        <v>1289.9000000000001</v>
      </c>
    </row>
    <row r="47" spans="1:2">
      <c r="A47" s="13" t="s">
        <v>135</v>
      </c>
      <c r="B47" s="63">
        <v>1229.8800000000001</v>
      </c>
    </row>
    <row r="48" spans="1:2">
      <c r="A48" s="13" t="s">
        <v>234</v>
      </c>
      <c r="B48" s="63">
        <v>1149.93</v>
      </c>
    </row>
    <row r="49" spans="1:2">
      <c r="A49" s="13" t="s">
        <v>262</v>
      </c>
      <c r="B49" s="63">
        <v>739.93000000000006</v>
      </c>
    </row>
    <row r="50" spans="1:2">
      <c r="A50" s="13" t="s">
        <v>389</v>
      </c>
      <c r="B50" s="63">
        <v>599.96</v>
      </c>
    </row>
    <row r="51" spans="1:2">
      <c r="A51" s="13" t="s">
        <v>78</v>
      </c>
      <c r="B51" s="63">
        <v>479.91999999999996</v>
      </c>
    </row>
    <row r="52" spans="1:2">
      <c r="A52" s="13" t="s">
        <v>165</v>
      </c>
      <c r="B52" s="63">
        <v>239.96</v>
      </c>
    </row>
    <row r="53" spans="1:2">
      <c r="A53" s="13" t="s">
        <v>307</v>
      </c>
      <c r="B53" s="63">
        <v>179.97</v>
      </c>
    </row>
    <row r="54" spans="1:2">
      <c r="A54" s="13" t="s">
        <v>411</v>
      </c>
      <c r="B54" s="63">
        <v>229192.46999999997</v>
      </c>
    </row>
  </sheetData>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iconSet" priority="1" id="{5E45EC84-B325-4D7E-8622-4D870C914845}">
            <x14:iconSet iconSet="3Triangles">
              <x14:cfvo type="percent">
                <xm:f>0</xm:f>
              </x14:cfvo>
              <x14:cfvo type="percent">
                <xm:f>33</xm:f>
              </x14:cfvo>
              <x14:cfvo type="percent">
                <xm:f>67</xm:f>
              </x14:cfvo>
            </x14:iconSet>
          </x14:cfRule>
          <xm:sqref>B4:B38 B40:B41 B43:B45 B48</xm:sqref>
        </x14:conditionalFormatting>
      </x14:conditionalFormattings>
    </ex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Project Instructions</vt:lpstr>
      <vt:lpstr>Dashboard</vt:lpstr>
      <vt:lpstr>DATASET</vt:lpstr>
      <vt:lpstr>filter functions</vt:lpstr>
      <vt:lpstr>Scenario Summary</vt:lpstr>
      <vt:lpstr>if anaylsis</vt:lpstr>
      <vt:lpstr>Cleaned</vt:lpstr>
      <vt:lpstr>Visualizations</vt:lpstr>
      <vt:lpstr>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Isamaliya</cp:lastModifiedBy>
  <dcterms:modified xsi:type="dcterms:W3CDTF">2026-06-20T04:33:51Z</dcterms:modified>
</cp:coreProperties>
</file>